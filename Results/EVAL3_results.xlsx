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mrc-my.sharepoint.com/personal/christoph_kecht_fim-rc_de/Documents/Forschung/Text2OCEL/"/>
    </mc:Choice>
  </mc:AlternateContent>
  <xr:revisionPtr revIDLastSave="52" documentId="8_{7BF95D83-2E03-4CF6-8815-BA1FB388B58F}" xr6:coauthVersionLast="47" xr6:coauthVersionMax="47" xr10:uidLastSave="{CF7A7261-F239-46B7-8904-553CF15CEE84}"/>
  <bookViews>
    <workbookView xWindow="-120" yWindow="-120" windowWidth="29040" windowHeight="15720" xr2:uid="{01C6F891-0DAC-4593-B893-6BAA9D3629BC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9" i="1" l="1"/>
  <c r="K159" i="1"/>
  <c r="I159" i="1"/>
  <c r="H159" i="1"/>
  <c r="F159" i="1"/>
  <c r="E159" i="1"/>
  <c r="C159" i="1"/>
  <c r="B159" i="1"/>
  <c r="L158" i="1"/>
  <c r="K158" i="1"/>
  <c r="I158" i="1"/>
  <c r="H158" i="1"/>
  <c r="F158" i="1"/>
  <c r="E158" i="1"/>
  <c r="C158" i="1"/>
  <c r="B158" i="1"/>
  <c r="L157" i="1"/>
  <c r="K157" i="1"/>
  <c r="I157" i="1"/>
  <c r="H157" i="1"/>
  <c r="F157" i="1"/>
  <c r="E157" i="1"/>
  <c r="C157" i="1"/>
  <c r="B157" i="1"/>
  <c r="L156" i="1"/>
  <c r="K156" i="1"/>
  <c r="I156" i="1"/>
  <c r="H156" i="1"/>
  <c r="F156" i="1"/>
  <c r="E156" i="1"/>
  <c r="C156" i="1"/>
  <c r="B156" i="1"/>
  <c r="L155" i="1"/>
  <c r="K155" i="1"/>
  <c r="I155" i="1"/>
  <c r="H155" i="1"/>
  <c r="F155" i="1"/>
  <c r="E155" i="1"/>
  <c r="C155" i="1"/>
  <c r="B155" i="1"/>
  <c r="L154" i="1"/>
  <c r="K154" i="1"/>
  <c r="I154" i="1"/>
  <c r="H154" i="1"/>
  <c r="F154" i="1"/>
  <c r="E154" i="1"/>
  <c r="C154" i="1"/>
  <c r="B154" i="1"/>
  <c r="L153" i="1"/>
  <c r="K153" i="1"/>
  <c r="I153" i="1"/>
  <c r="H153" i="1"/>
  <c r="F153" i="1"/>
  <c r="E153" i="1"/>
  <c r="C153" i="1"/>
  <c r="B153" i="1"/>
  <c r="L152" i="1"/>
  <c r="K152" i="1"/>
  <c r="I152" i="1"/>
  <c r="H152" i="1"/>
  <c r="F152" i="1"/>
  <c r="E152" i="1"/>
  <c r="G152" i="1" s="1"/>
  <c r="C152" i="1"/>
  <c r="B152" i="1"/>
  <c r="L151" i="1"/>
  <c r="K151" i="1"/>
  <c r="I151" i="1"/>
  <c r="H151" i="1"/>
  <c r="F151" i="1"/>
  <c r="E151" i="1"/>
  <c r="C151" i="1"/>
  <c r="B151" i="1"/>
  <c r="L150" i="1"/>
  <c r="K150" i="1"/>
  <c r="I150" i="1"/>
  <c r="H150" i="1"/>
  <c r="J150" i="1" s="1"/>
  <c r="F150" i="1"/>
  <c r="E150" i="1"/>
  <c r="C150" i="1"/>
  <c r="B150" i="1"/>
  <c r="L149" i="1"/>
  <c r="K149" i="1"/>
  <c r="I149" i="1"/>
  <c r="H149" i="1"/>
  <c r="F149" i="1"/>
  <c r="E149" i="1"/>
  <c r="C149" i="1"/>
  <c r="B149" i="1"/>
  <c r="L148" i="1"/>
  <c r="K148" i="1"/>
  <c r="I148" i="1"/>
  <c r="H148" i="1"/>
  <c r="F148" i="1"/>
  <c r="E148" i="1"/>
  <c r="C148" i="1"/>
  <c r="B148" i="1"/>
  <c r="L147" i="1"/>
  <c r="K147" i="1"/>
  <c r="I147" i="1"/>
  <c r="H147" i="1"/>
  <c r="F147" i="1"/>
  <c r="E147" i="1"/>
  <c r="C147" i="1"/>
  <c r="B147" i="1"/>
  <c r="L146" i="1"/>
  <c r="K146" i="1"/>
  <c r="I146" i="1"/>
  <c r="H146" i="1"/>
  <c r="F146" i="1"/>
  <c r="E146" i="1"/>
  <c r="C146" i="1"/>
  <c r="B146" i="1"/>
  <c r="L145" i="1"/>
  <c r="K145" i="1"/>
  <c r="I145" i="1"/>
  <c r="H145" i="1"/>
  <c r="F145" i="1"/>
  <c r="E145" i="1"/>
  <c r="G145" i="1" s="1"/>
  <c r="C145" i="1"/>
  <c r="B145" i="1"/>
  <c r="L144" i="1"/>
  <c r="K144" i="1"/>
  <c r="I144" i="1"/>
  <c r="H144" i="1"/>
  <c r="F144" i="1"/>
  <c r="E144" i="1"/>
  <c r="C144" i="1"/>
  <c r="B144" i="1"/>
  <c r="L143" i="1"/>
  <c r="K143" i="1"/>
  <c r="I143" i="1"/>
  <c r="H143" i="1"/>
  <c r="J143" i="1" s="1"/>
  <c r="F143" i="1"/>
  <c r="E143" i="1"/>
  <c r="C143" i="1"/>
  <c r="B143" i="1"/>
  <c r="L142" i="1"/>
  <c r="K142" i="1"/>
  <c r="I142" i="1"/>
  <c r="H142" i="1"/>
  <c r="F142" i="1"/>
  <c r="E142" i="1"/>
  <c r="C142" i="1"/>
  <c r="B142" i="1"/>
  <c r="L141" i="1"/>
  <c r="K141" i="1"/>
  <c r="I141" i="1"/>
  <c r="H141" i="1"/>
  <c r="F141" i="1"/>
  <c r="E141" i="1"/>
  <c r="G141" i="1" s="1"/>
  <c r="C141" i="1"/>
  <c r="B141" i="1"/>
  <c r="M136" i="1"/>
  <c r="J136" i="1"/>
  <c r="G136" i="1"/>
  <c r="D136" i="1"/>
  <c r="M113" i="1"/>
  <c r="J113" i="1"/>
  <c r="G113" i="1"/>
  <c r="D113" i="1"/>
  <c r="M90" i="1"/>
  <c r="J90" i="1"/>
  <c r="G90" i="1"/>
  <c r="D90" i="1"/>
  <c r="M67" i="1"/>
  <c r="J67" i="1"/>
  <c r="G67" i="1"/>
  <c r="D67" i="1"/>
  <c r="M44" i="1"/>
  <c r="J44" i="1"/>
  <c r="G44" i="1"/>
  <c r="D44" i="1"/>
  <c r="M21" i="1"/>
  <c r="J21" i="1"/>
  <c r="G21" i="1"/>
  <c r="D21" i="1"/>
  <c r="M159" i="1" l="1"/>
  <c r="D146" i="1"/>
  <c r="M147" i="1"/>
  <c r="D141" i="1"/>
  <c r="J144" i="1"/>
  <c r="G146" i="1"/>
  <c r="D148" i="1"/>
  <c r="G153" i="1"/>
  <c r="D155" i="1"/>
  <c r="J158" i="1"/>
  <c r="D142" i="1"/>
  <c r="J145" i="1"/>
  <c r="J152" i="1"/>
  <c r="J141" i="1"/>
  <c r="D145" i="1"/>
  <c r="J148" i="1"/>
  <c r="D152" i="1"/>
  <c r="J155" i="1"/>
  <c r="M149" i="1"/>
  <c r="J151" i="1"/>
  <c r="D143" i="1"/>
  <c r="D150" i="1"/>
  <c r="G155" i="1"/>
  <c r="D157" i="1"/>
  <c r="G143" i="1"/>
  <c r="J157" i="1"/>
  <c r="D149" i="1"/>
  <c r="D144" i="1"/>
  <c r="J147" i="1"/>
  <c r="D151" i="1"/>
  <c r="M152" i="1"/>
  <c r="J154" i="1"/>
  <c r="D156" i="1"/>
  <c r="M142" i="1"/>
  <c r="G154" i="1"/>
  <c r="D159" i="1"/>
  <c r="G148" i="1"/>
  <c r="D153" i="1"/>
  <c r="M154" i="1"/>
  <c r="D158" i="1"/>
  <c r="J159" i="1"/>
  <c r="G157" i="1"/>
  <c r="M146" i="1"/>
  <c r="G150" i="1"/>
  <c r="M156" i="1"/>
  <c r="M145" i="1"/>
  <c r="G147" i="1"/>
  <c r="M153" i="1"/>
  <c r="M143" i="1"/>
  <c r="G144" i="1"/>
  <c r="M150" i="1"/>
  <c r="G151" i="1"/>
  <c r="M157" i="1"/>
  <c r="G158" i="1"/>
  <c r="J146" i="1"/>
  <c r="D147" i="1"/>
  <c r="J153" i="1"/>
  <c r="D154" i="1"/>
  <c r="M141" i="1"/>
  <c r="G142" i="1"/>
  <c r="M148" i="1"/>
  <c r="G149" i="1"/>
  <c r="M155" i="1"/>
  <c r="G156" i="1"/>
  <c r="J142" i="1"/>
  <c r="J149" i="1"/>
  <c r="J156" i="1"/>
  <c r="M144" i="1"/>
  <c r="M151" i="1"/>
  <c r="M158" i="1"/>
  <c r="G159" i="1"/>
</calcChain>
</file>

<file path=xl/sharedStrings.xml><?xml version="1.0" encoding="utf-8"?>
<sst xmlns="http://schemas.openxmlformats.org/spreadsheetml/2006/main" count="252" uniqueCount="32">
  <si>
    <t>Recruiting log</t>
  </si>
  <si>
    <t>HEU-HEU extractor</t>
  </si>
  <si>
    <t>GEN-GEN extractor</t>
  </si>
  <si>
    <t>GEN-HEU extractor</t>
  </si>
  <si>
    <t>HEU-GEN extractor</t>
  </si>
  <si>
    <t>Precision</t>
  </si>
  <si>
    <t>Recall</t>
  </si>
  <si>
    <t>F1-Score</t>
  </si>
  <si>
    <t>Object Type level</t>
  </si>
  <si>
    <t>Object Instance level</t>
  </si>
  <si>
    <t>Object-to-type (Abs)</t>
  </si>
  <si>
    <t>Object-to-type (Rel)</t>
  </si>
  <si>
    <t>Object-to-attribute-type (Abs)</t>
  </si>
  <si>
    <t>Object-to-attribute-type (Rel)</t>
  </si>
  <si>
    <t>Object-to-attribute-value(Abs)</t>
  </si>
  <si>
    <t>Object-to-attribute-value (Rel)</t>
  </si>
  <si>
    <t>Object-to-Object (Abs)</t>
  </si>
  <si>
    <t>Object-to-Object (Rel)</t>
  </si>
  <si>
    <t>Event type level</t>
  </si>
  <si>
    <t>Event instance level</t>
  </si>
  <si>
    <t>Event-to-attribute-type (Abs)</t>
  </si>
  <si>
    <t>Event-to-attribute-type (Rel)</t>
  </si>
  <si>
    <t>Event-to-attribute-value (Abs)</t>
  </si>
  <si>
    <t>Event-to-attribute-value (Rel)</t>
  </si>
  <si>
    <t>Event-to-object (Abs)</t>
  </si>
  <si>
    <t>Event-to-object (Rel)</t>
  </si>
  <si>
    <t>Overall</t>
  </si>
  <si>
    <t>Logistics log</t>
  </si>
  <si>
    <t>P2P log</t>
  </si>
  <si>
    <t>Order management log</t>
  </si>
  <si>
    <t>Production log</t>
  </si>
  <si>
    <t>Age of empire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</si>
</sst>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</font>
    <font>
      <sz val="11"/>
      <color rgb="FF000000"/>
      <name val="Aptos Narrow"/>
      <family val="2"/>
    </font>
    <font>
      <b/>
      <sz val="12"/>
      <name val="Aptos Narrow"/>
      <family val="2"/>
    </font>
    <font>
      <sz val="11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9" xfId="0" applyFont="1" applyBorder="1" applyAlignment="1">
      <alignment horizontal="left" wrapText="1" readingOrder="1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5" fillId="0" borderId="10" xfId="0" applyFont="1" applyBorder="1" applyAlignment="1">
      <alignment horizontal="left" wrapText="1" readingOrder="1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6" fillId="0" borderId="15" xfId="0" applyFont="1" applyBorder="1" applyAlignment="1">
      <alignment horizontal="left" wrapText="1" readingOrder="1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6" fillId="0" borderId="20" xfId="0" applyFont="1" applyBorder="1" applyAlignment="1">
      <alignment horizontal="left" wrapText="1" readingOrder="1"/>
    </xf>
    <xf numFmtId="2" fontId="0" fillId="0" borderId="21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7" fillId="0" borderId="28" xfId="0" applyFont="1" applyBorder="1" applyAlignment="1">
      <alignment horizontal="left" wrapText="1" readingOrder="1"/>
    </xf>
    <xf numFmtId="0" fontId="8" fillId="0" borderId="29" xfId="0" applyFont="1" applyBorder="1" applyAlignment="1">
      <alignment horizontal="left" wrapText="1" readingOrder="1"/>
    </xf>
    <xf numFmtId="0" fontId="6" fillId="0" borderId="30" xfId="0" applyFont="1" applyBorder="1" applyAlignment="1">
      <alignment horizontal="left" wrapText="1" readingOrder="1"/>
    </xf>
    <xf numFmtId="0" fontId="9" fillId="0" borderId="9" xfId="0" applyFont="1" applyBorder="1" applyAlignment="1">
      <alignment horizontal="left" wrapText="1" readingOrder="1"/>
    </xf>
    <xf numFmtId="2" fontId="1" fillId="0" borderId="31" xfId="0" applyNumberFormat="1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33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5" fillId="0" borderId="28" xfId="0" applyFont="1" applyBorder="1" applyAlignment="1">
      <alignment horizontal="left" wrapText="1" readingOrder="1"/>
    </xf>
    <xf numFmtId="2" fontId="0" fillId="0" borderId="41" xfId="0" applyNumberForma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0" fontId="6" fillId="0" borderId="29" xfId="0" applyFont="1" applyBorder="1" applyAlignment="1">
      <alignment horizontal="left" wrapText="1" readingOrder="1"/>
    </xf>
    <xf numFmtId="2" fontId="0" fillId="0" borderId="46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C504-1FE8-4385-8D52-03353E844301}">
  <dimension ref="A1:M161"/>
  <sheetViews>
    <sheetView tabSelected="1" zoomScale="70" zoomScaleNormal="70" workbookViewId="0">
      <selection activeCell="N103" sqref="N103"/>
    </sheetView>
  </sheetViews>
  <sheetFormatPr baseColWidth="10" defaultRowHeight="15" x14ac:dyDescent="0.25"/>
  <cols>
    <col min="1" max="1" width="29.85546875" bestFit="1" customWidth="1"/>
  </cols>
  <sheetData>
    <row r="1" spans="1:13" ht="21.6" customHeight="1" thickBot="1" x14ac:dyDescent="0.4">
      <c r="A1" s="1" t="s">
        <v>0</v>
      </c>
      <c r="B1" s="60" t="s">
        <v>1</v>
      </c>
      <c r="C1" s="61"/>
      <c r="D1" s="62"/>
      <c r="E1" s="60" t="s">
        <v>2</v>
      </c>
      <c r="F1" s="63"/>
      <c r="G1" s="64"/>
      <c r="H1" s="65" t="s">
        <v>3</v>
      </c>
      <c r="I1" s="63"/>
      <c r="J1" s="64"/>
      <c r="K1" s="65" t="s">
        <v>4</v>
      </c>
      <c r="L1" s="63"/>
      <c r="M1" s="64"/>
    </row>
    <row r="2" spans="1:13" ht="15.75" thickBot="1" x14ac:dyDescent="0.3">
      <c r="A2" s="2"/>
      <c r="B2" s="3" t="s">
        <v>5</v>
      </c>
      <c r="C2" s="4" t="s">
        <v>6</v>
      </c>
      <c r="D2" s="5" t="s">
        <v>7</v>
      </c>
      <c r="E2" s="3" t="s">
        <v>5</v>
      </c>
      <c r="F2" s="4" t="s">
        <v>6</v>
      </c>
      <c r="G2" s="5" t="s">
        <v>7</v>
      </c>
      <c r="H2" s="6" t="s">
        <v>5</v>
      </c>
      <c r="I2" s="4" t="s">
        <v>6</v>
      </c>
      <c r="J2" s="5" t="s">
        <v>7</v>
      </c>
      <c r="K2" s="6" t="s">
        <v>5</v>
      </c>
      <c r="L2" s="4" t="s">
        <v>6</v>
      </c>
      <c r="M2" s="5" t="s">
        <v>7</v>
      </c>
    </row>
    <row r="3" spans="1:13" ht="16.5" thickBot="1" x14ac:dyDescent="0.3">
      <c r="A3" s="8" t="s">
        <v>8</v>
      </c>
      <c r="B3" s="9">
        <v>1</v>
      </c>
      <c r="C3" s="10">
        <v>1</v>
      </c>
      <c r="D3" s="11">
        <v>1</v>
      </c>
      <c r="E3" s="9">
        <v>0.83</v>
      </c>
      <c r="F3" s="10">
        <v>0.83</v>
      </c>
      <c r="G3" s="11">
        <v>0.83</v>
      </c>
      <c r="H3" s="12">
        <v>0.75</v>
      </c>
      <c r="I3" s="10">
        <v>1</v>
      </c>
      <c r="J3" s="11">
        <v>0.86</v>
      </c>
      <c r="K3" s="12">
        <v>0.27</v>
      </c>
      <c r="L3" s="10">
        <v>1</v>
      </c>
      <c r="M3" s="11">
        <v>0.43</v>
      </c>
    </row>
    <row r="4" spans="1:13" ht="15.75" x14ac:dyDescent="0.25">
      <c r="A4" s="13" t="s">
        <v>9</v>
      </c>
      <c r="B4" s="14">
        <v>1</v>
      </c>
      <c r="C4" s="15">
        <v>0.63</v>
      </c>
      <c r="D4" s="16">
        <v>0.77</v>
      </c>
      <c r="E4" s="17">
        <v>0.89</v>
      </c>
      <c r="F4" s="15">
        <v>0.9</v>
      </c>
      <c r="G4" s="16">
        <v>0.9</v>
      </c>
      <c r="H4" s="14">
        <v>0.69</v>
      </c>
      <c r="I4" s="15">
        <v>1</v>
      </c>
      <c r="J4" s="16">
        <v>0.81</v>
      </c>
      <c r="K4" s="14">
        <v>0.87</v>
      </c>
      <c r="L4" s="15">
        <v>0.66</v>
      </c>
      <c r="M4" s="16">
        <v>0.75</v>
      </c>
    </row>
    <row r="5" spans="1:13" x14ac:dyDescent="0.25">
      <c r="A5" s="18" t="s">
        <v>10</v>
      </c>
      <c r="B5" s="19">
        <v>1</v>
      </c>
      <c r="C5" s="20">
        <v>0.62</v>
      </c>
      <c r="D5" s="21">
        <v>0.77</v>
      </c>
      <c r="E5" s="22">
        <v>0.87</v>
      </c>
      <c r="F5" s="20">
        <v>0.88</v>
      </c>
      <c r="G5" s="21">
        <v>0.88</v>
      </c>
      <c r="H5" s="19">
        <v>0.56999999999999995</v>
      </c>
      <c r="I5" s="20">
        <v>0.83</v>
      </c>
      <c r="J5" s="21">
        <v>0.68</v>
      </c>
      <c r="K5" s="19">
        <v>0.69</v>
      </c>
      <c r="L5" s="20">
        <v>0.53</v>
      </c>
      <c r="M5" s="21">
        <v>0.6</v>
      </c>
    </row>
    <row r="6" spans="1:13" x14ac:dyDescent="0.25">
      <c r="A6" s="18" t="s">
        <v>11</v>
      </c>
      <c r="B6" s="19">
        <v>1</v>
      </c>
      <c r="C6" s="20">
        <v>1</v>
      </c>
      <c r="D6" s="21">
        <v>1</v>
      </c>
      <c r="E6" s="22">
        <v>0.98</v>
      </c>
      <c r="F6" s="20">
        <v>0.98</v>
      </c>
      <c r="G6" s="21">
        <v>0.98</v>
      </c>
      <c r="H6" s="19">
        <v>0.83</v>
      </c>
      <c r="I6" s="20">
        <v>0.83</v>
      </c>
      <c r="J6" s="21">
        <v>0.83</v>
      </c>
      <c r="K6" s="19">
        <v>0.8</v>
      </c>
      <c r="L6" s="20">
        <v>0.8</v>
      </c>
      <c r="M6" s="21">
        <v>0.8</v>
      </c>
    </row>
    <row r="7" spans="1:13" x14ac:dyDescent="0.25">
      <c r="A7" s="18" t="s">
        <v>12</v>
      </c>
      <c r="B7" s="19">
        <v>0.03</v>
      </c>
      <c r="C7" s="20">
        <v>0.12</v>
      </c>
      <c r="D7" s="21">
        <v>0.05</v>
      </c>
      <c r="E7" s="22">
        <v>0.27</v>
      </c>
      <c r="F7" s="20">
        <v>0.76</v>
      </c>
      <c r="G7" s="21">
        <v>0.4</v>
      </c>
      <c r="H7" s="19">
        <v>0.62</v>
      </c>
      <c r="I7" s="20">
        <v>1</v>
      </c>
      <c r="J7" s="21">
        <v>0.77</v>
      </c>
      <c r="K7" s="19">
        <v>0.02</v>
      </c>
      <c r="L7" s="20">
        <v>0.08</v>
      </c>
      <c r="M7" s="21">
        <v>0.03</v>
      </c>
    </row>
    <row r="8" spans="1:13" x14ac:dyDescent="0.25">
      <c r="A8" s="18" t="s">
        <v>13</v>
      </c>
      <c r="B8" s="19">
        <v>0.03</v>
      </c>
      <c r="C8" s="20">
        <v>1</v>
      </c>
      <c r="D8" s="21">
        <v>0.06</v>
      </c>
      <c r="E8" s="22">
        <v>0.31</v>
      </c>
      <c r="F8" s="20">
        <v>1</v>
      </c>
      <c r="G8" s="21">
        <v>0.47</v>
      </c>
      <c r="H8" s="19">
        <v>0.91</v>
      </c>
      <c r="I8" s="20">
        <v>1</v>
      </c>
      <c r="J8" s="21">
        <v>0.95</v>
      </c>
      <c r="K8" s="19">
        <v>0.02</v>
      </c>
      <c r="L8" s="20">
        <v>1</v>
      </c>
      <c r="M8" s="21">
        <v>0.03</v>
      </c>
    </row>
    <row r="9" spans="1:13" x14ac:dyDescent="0.25">
      <c r="A9" s="18" t="s">
        <v>14</v>
      </c>
      <c r="B9" s="19">
        <v>0.03</v>
      </c>
      <c r="C9" s="20">
        <v>0.11</v>
      </c>
      <c r="D9" s="21">
        <v>0.05</v>
      </c>
      <c r="E9" s="22">
        <v>0.27</v>
      </c>
      <c r="F9" s="20">
        <v>0.76</v>
      </c>
      <c r="G9" s="21">
        <v>0.4</v>
      </c>
      <c r="H9" s="19">
        <v>0.46</v>
      </c>
      <c r="I9" s="20">
        <v>1</v>
      </c>
      <c r="J9" s="21">
        <v>0.63</v>
      </c>
      <c r="K9" s="19">
        <v>0.02</v>
      </c>
      <c r="L9" s="20">
        <v>0.08</v>
      </c>
      <c r="M9" s="21">
        <v>0.03</v>
      </c>
    </row>
    <row r="10" spans="1:13" x14ac:dyDescent="0.25">
      <c r="A10" s="18" t="s">
        <v>15</v>
      </c>
      <c r="B10" s="19">
        <v>0.03</v>
      </c>
      <c r="C10" s="20">
        <v>1</v>
      </c>
      <c r="D10" s="21">
        <v>0.06</v>
      </c>
      <c r="E10" s="22">
        <v>0.31</v>
      </c>
      <c r="F10" s="20">
        <v>1</v>
      </c>
      <c r="G10" s="21">
        <v>0.47</v>
      </c>
      <c r="H10" s="19">
        <v>0.67</v>
      </c>
      <c r="I10" s="20">
        <v>1</v>
      </c>
      <c r="J10" s="21">
        <v>0.8</v>
      </c>
      <c r="K10" s="19">
        <v>0.02</v>
      </c>
      <c r="L10" s="20">
        <v>1</v>
      </c>
      <c r="M10" s="21">
        <v>0.04</v>
      </c>
    </row>
    <row r="11" spans="1:13" x14ac:dyDescent="0.25">
      <c r="A11" s="18" t="s">
        <v>16</v>
      </c>
      <c r="B11" s="19">
        <v>0.81</v>
      </c>
      <c r="C11" s="20">
        <v>0.59</v>
      </c>
      <c r="D11" s="21">
        <v>0.68</v>
      </c>
      <c r="E11" s="22">
        <v>0.3</v>
      </c>
      <c r="F11" s="20">
        <v>0.82</v>
      </c>
      <c r="G11" s="21">
        <v>0.45</v>
      </c>
      <c r="H11" s="19">
        <v>0.38</v>
      </c>
      <c r="I11" s="20">
        <v>1</v>
      </c>
      <c r="J11" s="21">
        <v>0.55000000000000004</v>
      </c>
      <c r="K11" s="19">
        <v>0.65</v>
      </c>
      <c r="L11" s="20">
        <v>0.6</v>
      </c>
      <c r="M11" s="21">
        <v>0.62</v>
      </c>
    </row>
    <row r="12" spans="1:13" ht="15.75" thickBot="1" x14ac:dyDescent="0.3">
      <c r="A12" s="23" t="s">
        <v>17</v>
      </c>
      <c r="B12" s="19">
        <v>0.81</v>
      </c>
      <c r="C12" s="24">
        <v>1</v>
      </c>
      <c r="D12" s="25">
        <v>0.89</v>
      </c>
      <c r="E12" s="26">
        <v>0.33</v>
      </c>
      <c r="F12" s="20">
        <v>0.99</v>
      </c>
      <c r="G12" s="25">
        <v>0.5</v>
      </c>
      <c r="H12" s="27">
        <v>0.53</v>
      </c>
      <c r="I12" s="24">
        <v>1</v>
      </c>
      <c r="J12" s="25">
        <v>0.7</v>
      </c>
      <c r="K12" s="27">
        <v>0.74</v>
      </c>
      <c r="L12" s="24">
        <v>0.99</v>
      </c>
      <c r="M12" s="25">
        <v>0.85</v>
      </c>
    </row>
    <row r="13" spans="1:13" ht="16.5" thickBot="1" x14ac:dyDescent="0.3">
      <c r="A13" s="8" t="s">
        <v>18</v>
      </c>
      <c r="B13" s="28">
        <v>0.38</v>
      </c>
      <c r="C13" s="29">
        <v>0.87</v>
      </c>
      <c r="D13" s="30">
        <v>0.53</v>
      </c>
      <c r="E13" s="9">
        <v>0.52</v>
      </c>
      <c r="F13" s="10">
        <v>0.93</v>
      </c>
      <c r="G13" s="11">
        <v>0.67</v>
      </c>
      <c r="H13" s="12">
        <v>0.6</v>
      </c>
      <c r="I13" s="10">
        <v>1</v>
      </c>
      <c r="J13" s="11">
        <v>0.75</v>
      </c>
      <c r="K13" s="12">
        <v>0.28000000000000003</v>
      </c>
      <c r="L13" s="10">
        <v>1</v>
      </c>
      <c r="M13" s="11">
        <v>0.44</v>
      </c>
    </row>
    <row r="14" spans="1:13" ht="15.75" x14ac:dyDescent="0.25">
      <c r="A14" s="31" t="s">
        <v>19</v>
      </c>
      <c r="B14" s="17">
        <v>0.61</v>
      </c>
      <c r="C14" s="15">
        <v>0.67</v>
      </c>
      <c r="D14" s="16">
        <v>0.64</v>
      </c>
      <c r="E14" s="14">
        <v>0.8</v>
      </c>
      <c r="F14" s="15">
        <v>0.86</v>
      </c>
      <c r="G14" s="16">
        <v>0.83</v>
      </c>
      <c r="H14" s="14">
        <v>0.78</v>
      </c>
      <c r="I14" s="15">
        <v>0.83</v>
      </c>
      <c r="J14" s="16">
        <v>0.8</v>
      </c>
      <c r="K14" s="14">
        <v>0.68</v>
      </c>
      <c r="L14" s="15">
        <v>0.93</v>
      </c>
      <c r="M14" s="16">
        <v>0.79</v>
      </c>
    </row>
    <row r="15" spans="1:13" x14ac:dyDescent="0.25">
      <c r="A15" s="32" t="s">
        <v>20</v>
      </c>
      <c r="B15" s="22">
        <v>0.38</v>
      </c>
      <c r="C15" s="20">
        <v>0.59</v>
      </c>
      <c r="D15" s="21">
        <v>0.46</v>
      </c>
      <c r="E15" s="19">
        <v>0.7</v>
      </c>
      <c r="F15" s="20">
        <v>0.84</v>
      </c>
      <c r="G15" s="21">
        <v>0.77</v>
      </c>
      <c r="H15" s="19">
        <v>0.65</v>
      </c>
      <c r="I15" s="20">
        <v>0.8</v>
      </c>
      <c r="J15" s="21">
        <v>0.72</v>
      </c>
      <c r="K15" s="19">
        <v>0.48</v>
      </c>
      <c r="L15" s="20">
        <v>0.91</v>
      </c>
      <c r="M15" s="21">
        <v>0.63</v>
      </c>
    </row>
    <row r="16" spans="1:13" x14ac:dyDescent="0.25">
      <c r="A16" s="32" t="s">
        <v>21</v>
      </c>
      <c r="B16" s="22">
        <v>0.63</v>
      </c>
      <c r="C16" s="20">
        <v>1</v>
      </c>
      <c r="D16" s="21">
        <v>0.77</v>
      </c>
      <c r="E16" s="19">
        <v>0.87</v>
      </c>
      <c r="F16" s="20">
        <v>1</v>
      </c>
      <c r="G16" s="21">
        <v>0.93</v>
      </c>
      <c r="H16" s="19">
        <v>0.83</v>
      </c>
      <c r="I16" s="20">
        <v>1</v>
      </c>
      <c r="J16" s="21">
        <v>0.91</v>
      </c>
      <c r="K16" s="19">
        <v>0.7</v>
      </c>
      <c r="L16" s="20">
        <v>1</v>
      </c>
      <c r="M16" s="21">
        <v>0.82</v>
      </c>
    </row>
    <row r="17" spans="1:13" x14ac:dyDescent="0.25">
      <c r="A17" s="32" t="s">
        <v>22</v>
      </c>
      <c r="B17" s="22">
        <v>0.38</v>
      </c>
      <c r="C17" s="20">
        <v>0.59</v>
      </c>
      <c r="D17" s="21">
        <v>0.46</v>
      </c>
      <c r="E17" s="19">
        <v>0.7</v>
      </c>
      <c r="F17" s="20">
        <v>0.84</v>
      </c>
      <c r="G17" s="21">
        <v>0.77</v>
      </c>
      <c r="H17" s="19">
        <v>0.65</v>
      </c>
      <c r="I17" s="20">
        <v>0.8</v>
      </c>
      <c r="J17" s="21">
        <v>0.72</v>
      </c>
      <c r="K17" s="19">
        <v>0.48</v>
      </c>
      <c r="L17" s="20">
        <v>0.91</v>
      </c>
      <c r="M17" s="21">
        <v>0.63</v>
      </c>
    </row>
    <row r="18" spans="1:13" x14ac:dyDescent="0.25">
      <c r="A18" s="32" t="s">
        <v>23</v>
      </c>
      <c r="B18" s="22">
        <v>0.63</v>
      </c>
      <c r="C18" s="20">
        <v>1</v>
      </c>
      <c r="D18" s="21">
        <v>0.77</v>
      </c>
      <c r="E18" s="19">
        <v>0.87</v>
      </c>
      <c r="F18" s="20">
        <v>1</v>
      </c>
      <c r="G18" s="21">
        <v>0.93</v>
      </c>
      <c r="H18" s="19">
        <v>0.83</v>
      </c>
      <c r="I18" s="20">
        <v>1</v>
      </c>
      <c r="J18" s="21">
        <v>0.91</v>
      </c>
      <c r="K18" s="19">
        <v>0.7</v>
      </c>
      <c r="L18" s="20">
        <v>1</v>
      </c>
      <c r="M18" s="21">
        <v>0.82</v>
      </c>
    </row>
    <row r="19" spans="1:13" x14ac:dyDescent="0.25">
      <c r="A19" s="32" t="s">
        <v>24</v>
      </c>
      <c r="B19" s="22">
        <v>0.56000000000000005</v>
      </c>
      <c r="C19" s="20">
        <v>0.24</v>
      </c>
      <c r="D19" s="21">
        <v>0.34</v>
      </c>
      <c r="E19" s="19">
        <v>0.7</v>
      </c>
      <c r="F19" s="20">
        <v>0.79</v>
      </c>
      <c r="G19" s="21">
        <v>0.74</v>
      </c>
      <c r="H19" s="19">
        <v>0.64</v>
      </c>
      <c r="I19" s="20">
        <v>0.77</v>
      </c>
      <c r="J19" s="21">
        <v>0.7</v>
      </c>
      <c r="K19" s="19">
        <v>0.62</v>
      </c>
      <c r="L19" s="20">
        <v>0.32</v>
      </c>
      <c r="M19" s="21">
        <v>0.42</v>
      </c>
    </row>
    <row r="20" spans="1:13" ht="15.75" thickBot="1" x14ac:dyDescent="0.3">
      <c r="A20" s="33" t="s">
        <v>25</v>
      </c>
      <c r="B20" s="26">
        <v>0.9</v>
      </c>
      <c r="C20" s="24">
        <v>0.36</v>
      </c>
      <c r="D20" s="25">
        <v>0.52</v>
      </c>
      <c r="E20" s="27">
        <v>0.86</v>
      </c>
      <c r="F20" s="24">
        <v>0.86</v>
      </c>
      <c r="G20" s="21">
        <v>0.86</v>
      </c>
      <c r="H20" s="27">
        <v>0.89</v>
      </c>
      <c r="I20" s="24">
        <v>0.94</v>
      </c>
      <c r="J20" s="25">
        <v>0.92</v>
      </c>
      <c r="K20" s="27">
        <v>0.95</v>
      </c>
      <c r="L20" s="24">
        <v>0.34</v>
      </c>
      <c r="M20" s="25">
        <v>0.51</v>
      </c>
    </row>
    <row r="21" spans="1:13" ht="15.75" thickBot="1" x14ac:dyDescent="0.3">
      <c r="A21" s="34" t="s">
        <v>26</v>
      </c>
      <c r="B21" s="35">
        <v>0.56000000000000005</v>
      </c>
      <c r="C21" s="36">
        <v>0.55000000000000004</v>
      </c>
      <c r="D21" s="37">
        <f>HARMEAN(B21,C21)</f>
        <v>0.55495495495495495</v>
      </c>
      <c r="E21" s="38">
        <v>0.62</v>
      </c>
      <c r="F21" s="39">
        <v>0.84</v>
      </c>
      <c r="G21" s="40">
        <f>HARMEAN(E21,F21)</f>
        <v>0.71342465753424655</v>
      </c>
      <c r="H21" s="41">
        <v>0.62</v>
      </c>
      <c r="I21" s="39">
        <v>0.91</v>
      </c>
      <c r="J21" s="40">
        <f>HARMEAN(H21,I21)</f>
        <v>0.737516339869281</v>
      </c>
      <c r="K21" s="41">
        <v>0.46</v>
      </c>
      <c r="L21" s="39">
        <v>0.64</v>
      </c>
      <c r="M21" s="40">
        <f>HARMEAN(K21,L21)</f>
        <v>0.53527272727272734</v>
      </c>
    </row>
    <row r="22" spans="1:13" x14ac:dyDescent="0.25">
      <c r="A22" s="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5.75" thickBot="1" x14ac:dyDescent="0.3">
      <c r="A23" s="2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ht="21.6" customHeight="1" thickBot="1" x14ac:dyDescent="0.4">
      <c r="A24" s="1" t="s">
        <v>27</v>
      </c>
      <c r="B24" s="60" t="s">
        <v>1</v>
      </c>
      <c r="C24" s="61"/>
      <c r="D24" s="62"/>
      <c r="E24" s="60" t="s">
        <v>2</v>
      </c>
      <c r="F24" s="63"/>
      <c r="G24" s="64"/>
      <c r="H24" s="65" t="s">
        <v>3</v>
      </c>
      <c r="I24" s="63"/>
      <c r="J24" s="64"/>
      <c r="K24" s="65" t="s">
        <v>4</v>
      </c>
      <c r="L24" s="63"/>
      <c r="M24" s="64"/>
    </row>
    <row r="25" spans="1:13" ht="15.75" thickBot="1" x14ac:dyDescent="0.3">
      <c r="A25" s="2"/>
      <c r="B25" s="3" t="s">
        <v>5</v>
      </c>
      <c r="C25" s="4" t="s">
        <v>6</v>
      </c>
      <c r="D25" s="5" t="s">
        <v>7</v>
      </c>
      <c r="E25" s="3" t="s">
        <v>5</v>
      </c>
      <c r="F25" s="4" t="s">
        <v>6</v>
      </c>
      <c r="G25" s="5" t="s">
        <v>7</v>
      </c>
      <c r="H25" s="6" t="s">
        <v>5</v>
      </c>
      <c r="I25" s="4" t="s">
        <v>6</v>
      </c>
      <c r="J25" s="5" t="s">
        <v>7</v>
      </c>
      <c r="K25" s="6" t="s">
        <v>5</v>
      </c>
      <c r="L25" s="4" t="s">
        <v>6</v>
      </c>
      <c r="M25" s="5" t="s">
        <v>7</v>
      </c>
    </row>
    <row r="26" spans="1:13" ht="16.5" thickBot="1" x14ac:dyDescent="0.3">
      <c r="A26" s="8" t="s">
        <v>8</v>
      </c>
      <c r="B26" s="9">
        <v>0.5</v>
      </c>
      <c r="C26" s="10">
        <v>1</v>
      </c>
      <c r="D26" s="11">
        <v>0.67</v>
      </c>
      <c r="E26" s="9">
        <v>0.5</v>
      </c>
      <c r="F26" s="10">
        <v>1</v>
      </c>
      <c r="G26" s="11">
        <v>0.67</v>
      </c>
      <c r="H26" s="12">
        <v>0.75</v>
      </c>
      <c r="I26" s="10">
        <v>1</v>
      </c>
      <c r="J26" s="11">
        <v>0.86</v>
      </c>
      <c r="K26" s="12">
        <v>0.17</v>
      </c>
      <c r="L26" s="10">
        <v>1</v>
      </c>
      <c r="M26" s="11">
        <v>0.28999999999999998</v>
      </c>
    </row>
    <row r="27" spans="1:13" ht="15.75" x14ac:dyDescent="0.25">
      <c r="A27" s="13" t="s">
        <v>9</v>
      </c>
      <c r="B27" s="17">
        <v>1</v>
      </c>
      <c r="C27" s="15">
        <v>0.98</v>
      </c>
      <c r="D27" s="16">
        <v>0.99</v>
      </c>
      <c r="E27" s="17">
        <v>0.89</v>
      </c>
      <c r="F27" s="15">
        <v>0.89</v>
      </c>
      <c r="G27" s="16">
        <v>0.89</v>
      </c>
      <c r="H27" s="14">
        <v>0.99</v>
      </c>
      <c r="I27" s="15">
        <v>1</v>
      </c>
      <c r="J27" s="16">
        <v>1</v>
      </c>
      <c r="K27" s="14">
        <v>0.91</v>
      </c>
      <c r="L27" s="15">
        <v>1</v>
      </c>
      <c r="M27" s="16">
        <v>0.95</v>
      </c>
    </row>
    <row r="28" spans="1:13" x14ac:dyDescent="0.25">
      <c r="A28" s="18" t="s">
        <v>10</v>
      </c>
      <c r="B28" s="22">
        <v>1</v>
      </c>
      <c r="C28" s="20">
        <v>0.98</v>
      </c>
      <c r="D28" s="21">
        <v>0.99</v>
      </c>
      <c r="E28" s="22">
        <v>0.89</v>
      </c>
      <c r="F28" s="42">
        <v>0.89</v>
      </c>
      <c r="G28" s="21">
        <v>0.89</v>
      </c>
      <c r="H28" s="19">
        <v>0.99</v>
      </c>
      <c r="I28" s="20">
        <v>1</v>
      </c>
      <c r="J28" s="21">
        <v>1</v>
      </c>
      <c r="K28" s="19">
        <v>0.75</v>
      </c>
      <c r="L28" s="20">
        <v>0.82</v>
      </c>
      <c r="M28" s="21">
        <v>0.79</v>
      </c>
    </row>
    <row r="29" spans="1:13" x14ac:dyDescent="0.25">
      <c r="A29" s="18" t="s">
        <v>11</v>
      </c>
      <c r="B29" s="22">
        <v>1</v>
      </c>
      <c r="C29" s="20">
        <v>1</v>
      </c>
      <c r="D29" s="21">
        <v>1</v>
      </c>
      <c r="E29" s="22">
        <v>1</v>
      </c>
      <c r="F29" s="20">
        <v>1</v>
      </c>
      <c r="G29" s="21">
        <v>1</v>
      </c>
      <c r="H29" s="19">
        <v>1</v>
      </c>
      <c r="I29" s="20">
        <v>1</v>
      </c>
      <c r="J29" s="21">
        <v>1</v>
      </c>
      <c r="K29" s="19">
        <v>0.83</v>
      </c>
      <c r="L29" s="20">
        <v>0.83</v>
      </c>
      <c r="M29" s="21">
        <v>0.83</v>
      </c>
    </row>
    <row r="30" spans="1:13" x14ac:dyDescent="0.25">
      <c r="A30" s="18" t="s">
        <v>12</v>
      </c>
      <c r="B30" s="22">
        <v>0.79</v>
      </c>
      <c r="C30" s="20">
        <v>0.75</v>
      </c>
      <c r="D30" s="21">
        <v>0.77</v>
      </c>
      <c r="E30" s="22">
        <v>0.63</v>
      </c>
      <c r="F30" s="20">
        <v>0.56000000000000005</v>
      </c>
      <c r="G30" s="21">
        <v>0.59</v>
      </c>
      <c r="H30" s="19">
        <v>0.93</v>
      </c>
      <c r="I30" s="20">
        <v>0.74</v>
      </c>
      <c r="J30" s="21">
        <v>0.83</v>
      </c>
      <c r="K30" s="19">
        <v>0.72</v>
      </c>
      <c r="L30" s="20">
        <v>0.8</v>
      </c>
      <c r="M30" s="21">
        <v>0.76</v>
      </c>
    </row>
    <row r="31" spans="1:13" x14ac:dyDescent="0.25">
      <c r="A31" s="18" t="s">
        <v>13</v>
      </c>
      <c r="B31" s="22">
        <v>0.79</v>
      </c>
      <c r="C31" s="20">
        <v>0.76</v>
      </c>
      <c r="D31" s="21">
        <v>0.77</v>
      </c>
      <c r="E31" s="22">
        <v>0.76</v>
      </c>
      <c r="F31" s="20">
        <v>0.64</v>
      </c>
      <c r="G31" s="21">
        <v>0.69</v>
      </c>
      <c r="H31" s="19">
        <v>0.93</v>
      </c>
      <c r="I31" s="20">
        <v>0.74</v>
      </c>
      <c r="J31" s="21">
        <v>0.83</v>
      </c>
      <c r="K31" s="19">
        <v>0.79</v>
      </c>
      <c r="L31" s="20">
        <v>0.81</v>
      </c>
      <c r="M31" s="21">
        <v>0.8</v>
      </c>
    </row>
    <row r="32" spans="1:13" x14ac:dyDescent="0.25">
      <c r="A32" s="18" t="s">
        <v>14</v>
      </c>
      <c r="B32" s="22">
        <v>0.75</v>
      </c>
      <c r="C32" s="20">
        <v>0.74</v>
      </c>
      <c r="D32" s="21">
        <v>0.75</v>
      </c>
      <c r="E32" s="22">
        <v>0.69</v>
      </c>
      <c r="F32" s="20">
        <v>0.61</v>
      </c>
      <c r="G32" s="21">
        <v>0.65</v>
      </c>
      <c r="H32" s="19">
        <v>0.79</v>
      </c>
      <c r="I32" s="20">
        <v>0.64</v>
      </c>
      <c r="J32" s="21">
        <v>0.7</v>
      </c>
      <c r="K32" s="19">
        <v>0.67</v>
      </c>
      <c r="L32" s="20">
        <v>0.75</v>
      </c>
      <c r="M32" s="21">
        <v>0.71</v>
      </c>
    </row>
    <row r="33" spans="1:13" x14ac:dyDescent="0.25">
      <c r="A33" s="18" t="s">
        <v>15</v>
      </c>
      <c r="B33" s="22">
        <v>0.75</v>
      </c>
      <c r="C33" s="20">
        <v>0.75</v>
      </c>
      <c r="D33" s="21">
        <v>0.75</v>
      </c>
      <c r="E33" s="22">
        <v>0.83</v>
      </c>
      <c r="F33" s="20">
        <v>0.69</v>
      </c>
      <c r="G33" s="21">
        <v>0.76</v>
      </c>
      <c r="H33" s="19">
        <v>0.79</v>
      </c>
      <c r="I33" s="20">
        <v>0.64</v>
      </c>
      <c r="J33" s="21">
        <v>0.71</v>
      </c>
      <c r="K33" s="19">
        <v>0.74</v>
      </c>
      <c r="L33" s="20">
        <v>0.75</v>
      </c>
      <c r="M33" s="21">
        <v>0.74</v>
      </c>
    </row>
    <row r="34" spans="1:13" x14ac:dyDescent="0.25">
      <c r="A34" s="18" t="s">
        <v>16</v>
      </c>
      <c r="B34" s="22">
        <v>0.97</v>
      </c>
      <c r="C34" s="20">
        <v>0.62</v>
      </c>
      <c r="D34" s="21">
        <v>0.76</v>
      </c>
      <c r="E34" s="22">
        <v>0.41</v>
      </c>
      <c r="F34" s="20">
        <v>0.38</v>
      </c>
      <c r="G34" s="21">
        <v>0.4</v>
      </c>
      <c r="H34" s="19">
        <v>0.83</v>
      </c>
      <c r="I34" s="20">
        <v>0.83</v>
      </c>
      <c r="J34" s="21">
        <v>0.83</v>
      </c>
      <c r="K34" s="19">
        <v>0.84</v>
      </c>
      <c r="L34" s="20">
        <v>0.64</v>
      </c>
      <c r="M34" s="21">
        <v>0.73</v>
      </c>
    </row>
    <row r="35" spans="1:13" ht="15.75" thickBot="1" x14ac:dyDescent="0.3">
      <c r="A35" s="23" t="s">
        <v>17</v>
      </c>
      <c r="B35" s="26">
        <v>0.97</v>
      </c>
      <c r="C35" s="24">
        <v>0.63</v>
      </c>
      <c r="D35" s="25">
        <v>0.77</v>
      </c>
      <c r="E35" s="26">
        <v>0.57999999999999996</v>
      </c>
      <c r="F35" s="24">
        <v>0.43</v>
      </c>
      <c r="G35" s="25">
        <v>0.5</v>
      </c>
      <c r="H35" s="43">
        <v>0.83</v>
      </c>
      <c r="I35" s="44">
        <v>0.83</v>
      </c>
      <c r="J35" s="45">
        <v>0.83</v>
      </c>
      <c r="K35" s="27">
        <v>0.96</v>
      </c>
      <c r="L35" s="24">
        <v>0.64</v>
      </c>
      <c r="M35" s="25">
        <v>0.77</v>
      </c>
    </row>
    <row r="36" spans="1:13" ht="16.5" thickBot="1" x14ac:dyDescent="0.3">
      <c r="A36" s="8" t="s">
        <v>18</v>
      </c>
      <c r="B36" s="9">
        <v>0.08</v>
      </c>
      <c r="C36" s="10">
        <v>1</v>
      </c>
      <c r="D36" s="11">
        <v>0.15</v>
      </c>
      <c r="E36" s="9">
        <v>0.11</v>
      </c>
      <c r="F36" s="10">
        <v>1</v>
      </c>
      <c r="G36" s="46">
        <v>0.19</v>
      </c>
      <c r="H36" s="28">
        <v>0.11</v>
      </c>
      <c r="I36" s="29">
        <v>1</v>
      </c>
      <c r="J36" s="30">
        <v>0.19</v>
      </c>
      <c r="K36" s="12">
        <v>0.08</v>
      </c>
      <c r="L36" s="10">
        <v>1</v>
      </c>
      <c r="M36" s="11">
        <v>0.14000000000000001</v>
      </c>
    </row>
    <row r="37" spans="1:13" ht="15.75" x14ac:dyDescent="0.25">
      <c r="A37" s="31" t="s">
        <v>19</v>
      </c>
      <c r="B37" s="17">
        <v>0.61</v>
      </c>
      <c r="C37" s="15">
        <v>0.73</v>
      </c>
      <c r="D37" s="16">
        <v>0.66</v>
      </c>
      <c r="E37" s="17">
        <v>0.7</v>
      </c>
      <c r="F37" s="15">
        <v>0.73</v>
      </c>
      <c r="G37" s="47">
        <v>0.71</v>
      </c>
      <c r="H37" s="17">
        <v>0.55000000000000004</v>
      </c>
      <c r="I37" s="15">
        <v>0.56999999999999995</v>
      </c>
      <c r="J37" s="16">
        <v>0.56000000000000005</v>
      </c>
      <c r="K37" s="14">
        <v>0.44</v>
      </c>
      <c r="L37" s="15">
        <v>0.67</v>
      </c>
      <c r="M37" s="16">
        <v>0.53</v>
      </c>
    </row>
    <row r="38" spans="1:13" x14ac:dyDescent="0.25">
      <c r="A38" s="32" t="s">
        <v>20</v>
      </c>
      <c r="B38" s="22">
        <v>0.59</v>
      </c>
      <c r="C38" s="20">
        <v>0.72</v>
      </c>
      <c r="D38" s="21">
        <v>0.65</v>
      </c>
      <c r="E38" s="22">
        <v>0.66</v>
      </c>
      <c r="F38" s="48">
        <v>0.72</v>
      </c>
      <c r="G38" s="49">
        <v>0.69</v>
      </c>
      <c r="H38" s="22">
        <v>0.44</v>
      </c>
      <c r="I38" s="20">
        <v>0.52</v>
      </c>
      <c r="J38" s="21">
        <v>0.48</v>
      </c>
      <c r="K38" s="19">
        <v>0.43</v>
      </c>
      <c r="L38" s="20">
        <v>0.66</v>
      </c>
      <c r="M38" s="21">
        <v>0.52</v>
      </c>
    </row>
    <row r="39" spans="1:13" x14ac:dyDescent="0.25">
      <c r="A39" s="32" t="s">
        <v>21</v>
      </c>
      <c r="B39" s="22">
        <v>0.98</v>
      </c>
      <c r="C39" s="20">
        <v>1</v>
      </c>
      <c r="D39" s="21">
        <v>0.99</v>
      </c>
      <c r="E39" s="22">
        <v>0.95</v>
      </c>
      <c r="F39" s="20">
        <v>1</v>
      </c>
      <c r="G39" s="49">
        <v>0.97</v>
      </c>
      <c r="H39" s="22">
        <v>0.8</v>
      </c>
      <c r="I39" s="20">
        <v>1</v>
      </c>
      <c r="J39" s="21">
        <v>0.89</v>
      </c>
      <c r="K39" s="19">
        <v>0.98</v>
      </c>
      <c r="L39" s="20">
        <v>1</v>
      </c>
      <c r="M39" s="21">
        <v>0.99</v>
      </c>
    </row>
    <row r="40" spans="1:13" x14ac:dyDescent="0.25">
      <c r="A40" s="32" t="s">
        <v>22</v>
      </c>
      <c r="B40" s="22">
        <v>0.59</v>
      </c>
      <c r="C40" s="20">
        <v>0.72</v>
      </c>
      <c r="D40" s="21">
        <v>0.65</v>
      </c>
      <c r="E40" s="22">
        <v>0.66</v>
      </c>
      <c r="F40" s="20">
        <v>0.72</v>
      </c>
      <c r="G40" s="49">
        <v>0.69</v>
      </c>
      <c r="H40" s="22">
        <v>0.44</v>
      </c>
      <c r="I40" s="20">
        <v>0.52</v>
      </c>
      <c r="J40" s="21">
        <v>0.48</v>
      </c>
      <c r="K40" s="19">
        <v>0.43</v>
      </c>
      <c r="L40" s="20">
        <v>0.66</v>
      </c>
      <c r="M40" s="21">
        <v>0.52</v>
      </c>
    </row>
    <row r="41" spans="1:13" x14ac:dyDescent="0.25">
      <c r="A41" s="32" t="s">
        <v>23</v>
      </c>
      <c r="B41" s="22">
        <v>0.98</v>
      </c>
      <c r="C41" s="20">
        <v>1</v>
      </c>
      <c r="D41" s="21">
        <v>0.99</v>
      </c>
      <c r="E41" s="22">
        <v>0.95</v>
      </c>
      <c r="F41" s="20">
        <v>1</v>
      </c>
      <c r="G41" s="49">
        <v>0.97</v>
      </c>
      <c r="H41" s="22">
        <v>0.8</v>
      </c>
      <c r="I41" s="20">
        <v>1</v>
      </c>
      <c r="J41" s="21">
        <v>0.89</v>
      </c>
      <c r="K41" s="19">
        <v>0.98</v>
      </c>
      <c r="L41" s="20">
        <v>1</v>
      </c>
      <c r="M41" s="21">
        <v>0.99</v>
      </c>
    </row>
    <row r="42" spans="1:13" x14ac:dyDescent="0.25">
      <c r="A42" s="32" t="s">
        <v>24</v>
      </c>
      <c r="B42" s="22">
        <v>0.56000000000000005</v>
      </c>
      <c r="C42" s="20">
        <v>0.57999999999999996</v>
      </c>
      <c r="D42" s="21">
        <v>0.56999999999999995</v>
      </c>
      <c r="E42" s="22">
        <v>0.41</v>
      </c>
      <c r="F42" s="20">
        <v>0.42</v>
      </c>
      <c r="G42" s="49">
        <v>0.42</v>
      </c>
      <c r="H42" s="22">
        <v>0.69</v>
      </c>
      <c r="I42" s="20">
        <v>0.7</v>
      </c>
      <c r="J42" s="21">
        <v>0.7</v>
      </c>
      <c r="K42" s="19">
        <v>0.39</v>
      </c>
      <c r="L42" s="20">
        <v>0.49</v>
      </c>
      <c r="M42" s="21">
        <v>0.43</v>
      </c>
    </row>
    <row r="43" spans="1:13" ht="15.75" thickBot="1" x14ac:dyDescent="0.3">
      <c r="A43" s="33" t="s">
        <v>25</v>
      </c>
      <c r="B43" s="26">
        <v>0.99</v>
      </c>
      <c r="C43" s="24">
        <v>0.86</v>
      </c>
      <c r="D43" s="25">
        <v>0.92</v>
      </c>
      <c r="E43" s="26">
        <v>0.66</v>
      </c>
      <c r="F43" s="24">
        <v>0.65</v>
      </c>
      <c r="G43" s="50">
        <v>0.66</v>
      </c>
      <c r="H43" s="26">
        <v>1</v>
      </c>
      <c r="I43" s="24">
        <v>0.98</v>
      </c>
      <c r="J43" s="25">
        <v>0.99</v>
      </c>
      <c r="K43" s="27">
        <v>0.99</v>
      </c>
      <c r="L43" s="24">
        <v>0.85</v>
      </c>
      <c r="M43" s="25">
        <v>0.91</v>
      </c>
    </row>
    <row r="44" spans="1:13" ht="15.75" thickBot="1" x14ac:dyDescent="0.3">
      <c r="A44" s="34" t="s">
        <v>26</v>
      </c>
      <c r="B44" s="38">
        <v>0.68</v>
      </c>
      <c r="C44" s="39">
        <v>0.8</v>
      </c>
      <c r="D44" s="37">
        <f>HARMEAN(B44,C44)</f>
        <v>0.73513513513513506</v>
      </c>
      <c r="E44" s="38">
        <v>0.6</v>
      </c>
      <c r="F44" s="39">
        <v>0.72</v>
      </c>
      <c r="G44" s="40">
        <f>HARMEAN(E44,F44)</f>
        <v>0.65454545454545454</v>
      </c>
      <c r="H44" s="38">
        <v>0.68</v>
      </c>
      <c r="I44" s="39">
        <v>0.77</v>
      </c>
      <c r="J44" s="40">
        <f>HARMEAN(H44,I44)</f>
        <v>0.7222068965517241</v>
      </c>
      <c r="K44" s="41">
        <v>0.53</v>
      </c>
      <c r="L44" s="39">
        <v>0.77</v>
      </c>
      <c r="M44" s="40">
        <f>HARMEAN(K44,L44)</f>
        <v>0.62784615384615394</v>
      </c>
    </row>
    <row r="45" spans="1:13" x14ac:dyDescent="0.25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ht="15.75" thickBot="1" x14ac:dyDescent="0.3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21.6" customHeight="1" thickBot="1" x14ac:dyDescent="0.4">
      <c r="A47" s="1" t="s">
        <v>28</v>
      </c>
      <c r="B47" s="60" t="s">
        <v>1</v>
      </c>
      <c r="C47" s="61"/>
      <c r="D47" s="62"/>
      <c r="E47" s="60" t="s">
        <v>2</v>
      </c>
      <c r="F47" s="63"/>
      <c r="G47" s="64"/>
      <c r="H47" s="65" t="s">
        <v>3</v>
      </c>
      <c r="I47" s="63"/>
      <c r="J47" s="64"/>
      <c r="K47" s="65" t="s">
        <v>4</v>
      </c>
      <c r="L47" s="63"/>
      <c r="M47" s="64"/>
    </row>
    <row r="48" spans="1:13" ht="15.75" thickBot="1" x14ac:dyDescent="0.3">
      <c r="A48" s="2"/>
      <c r="B48" s="3" t="s">
        <v>5</v>
      </c>
      <c r="C48" s="4" t="s">
        <v>6</v>
      </c>
      <c r="D48" s="5" t="s">
        <v>7</v>
      </c>
      <c r="E48" s="3" t="s">
        <v>5</v>
      </c>
      <c r="F48" s="4" t="s">
        <v>6</v>
      </c>
      <c r="G48" s="5" t="s">
        <v>7</v>
      </c>
      <c r="H48" s="6" t="s">
        <v>5</v>
      </c>
      <c r="I48" s="4" t="s">
        <v>6</v>
      </c>
      <c r="J48" s="5" t="s">
        <v>7</v>
      </c>
      <c r="K48" s="6" t="s">
        <v>5</v>
      </c>
      <c r="L48" s="4" t="s">
        <v>6</v>
      </c>
      <c r="M48" s="5" t="s">
        <v>7</v>
      </c>
    </row>
    <row r="49" spans="1:13" ht="16.5" thickBot="1" x14ac:dyDescent="0.3">
      <c r="A49" s="8" t="s">
        <v>8</v>
      </c>
      <c r="B49" s="9">
        <v>0.7</v>
      </c>
      <c r="C49" s="10">
        <v>1</v>
      </c>
      <c r="D49" s="11">
        <v>0.82</v>
      </c>
      <c r="E49" s="9">
        <v>0.47</v>
      </c>
      <c r="F49" s="10">
        <v>1</v>
      </c>
      <c r="G49" s="11">
        <v>0.64</v>
      </c>
      <c r="H49" s="12">
        <v>0.3</v>
      </c>
      <c r="I49" s="10">
        <v>1</v>
      </c>
      <c r="J49" s="11">
        <v>0.47</v>
      </c>
      <c r="K49" s="12">
        <v>0.27</v>
      </c>
      <c r="L49" s="10">
        <v>1</v>
      </c>
      <c r="M49" s="11">
        <v>0.42</v>
      </c>
    </row>
    <row r="50" spans="1:13" ht="15.75" x14ac:dyDescent="0.25">
      <c r="A50" s="13" t="s">
        <v>9</v>
      </c>
      <c r="B50" s="17">
        <v>1</v>
      </c>
      <c r="C50" s="15">
        <v>0.92</v>
      </c>
      <c r="D50" s="16">
        <v>0.96</v>
      </c>
      <c r="E50" s="17">
        <v>0.98</v>
      </c>
      <c r="F50" s="15">
        <v>0.99</v>
      </c>
      <c r="G50" s="16">
        <v>0.98</v>
      </c>
      <c r="H50" s="14">
        <v>0.96</v>
      </c>
      <c r="I50" s="15">
        <v>0.98</v>
      </c>
      <c r="J50" s="16">
        <v>0.97</v>
      </c>
      <c r="K50" s="14">
        <v>0.94</v>
      </c>
      <c r="L50" s="15">
        <v>0.99</v>
      </c>
      <c r="M50" s="16">
        <v>0.96</v>
      </c>
    </row>
    <row r="51" spans="1:13" x14ac:dyDescent="0.25">
      <c r="A51" s="18" t="s">
        <v>10</v>
      </c>
      <c r="B51" s="22">
        <v>0.99</v>
      </c>
      <c r="C51" s="20">
        <v>0.91</v>
      </c>
      <c r="D51" s="21">
        <v>0.95</v>
      </c>
      <c r="E51" s="22">
        <v>0.98</v>
      </c>
      <c r="F51" s="20">
        <v>0.99</v>
      </c>
      <c r="G51" s="21">
        <v>0.98</v>
      </c>
      <c r="H51" s="19">
        <v>0.97</v>
      </c>
      <c r="I51" s="20">
        <v>0.97</v>
      </c>
      <c r="J51" s="21">
        <v>0.97</v>
      </c>
      <c r="K51" s="19">
        <v>0.6</v>
      </c>
      <c r="L51" s="20">
        <v>0.64</v>
      </c>
      <c r="M51" s="21">
        <v>0.62</v>
      </c>
    </row>
    <row r="52" spans="1:13" x14ac:dyDescent="0.25">
      <c r="A52" s="18" t="s">
        <v>11</v>
      </c>
      <c r="B52" s="22">
        <v>0.99</v>
      </c>
      <c r="C52" s="20">
        <v>0.99</v>
      </c>
      <c r="D52" s="21">
        <v>0.99</v>
      </c>
      <c r="E52" s="22">
        <v>1</v>
      </c>
      <c r="F52" s="20">
        <v>1</v>
      </c>
      <c r="G52" s="21">
        <v>1</v>
      </c>
      <c r="H52" s="19">
        <v>1</v>
      </c>
      <c r="I52" s="20">
        <v>0.99</v>
      </c>
      <c r="J52" s="21">
        <v>1</v>
      </c>
      <c r="K52" s="19">
        <v>0.64</v>
      </c>
      <c r="L52" s="20">
        <v>0.64</v>
      </c>
      <c r="M52" s="21">
        <v>0.64</v>
      </c>
    </row>
    <row r="53" spans="1:13" x14ac:dyDescent="0.25">
      <c r="A53" s="18" t="s">
        <v>12</v>
      </c>
      <c r="B53" s="22">
        <v>0.28999999999999998</v>
      </c>
      <c r="C53" s="20">
        <v>0.2</v>
      </c>
      <c r="D53" s="21">
        <v>0.24</v>
      </c>
      <c r="E53" s="22">
        <v>0.61</v>
      </c>
      <c r="F53" s="20">
        <v>0.49</v>
      </c>
      <c r="G53" s="21">
        <v>0.54</v>
      </c>
      <c r="H53" s="19">
        <v>0.28999999999999998</v>
      </c>
      <c r="I53" s="20">
        <v>0.11</v>
      </c>
      <c r="J53" s="21">
        <v>0.16</v>
      </c>
      <c r="K53" s="19">
        <v>0.34</v>
      </c>
      <c r="L53" s="20">
        <v>0.47</v>
      </c>
      <c r="M53" s="21">
        <v>0.4</v>
      </c>
    </row>
    <row r="54" spans="1:13" x14ac:dyDescent="0.25">
      <c r="A54" s="18" t="s">
        <v>13</v>
      </c>
      <c r="B54" s="22">
        <v>0.28999999999999998</v>
      </c>
      <c r="C54" s="20">
        <v>0.21</v>
      </c>
      <c r="D54" s="21">
        <v>0.25</v>
      </c>
      <c r="E54" s="22">
        <v>0.63</v>
      </c>
      <c r="F54" s="20">
        <v>0.49</v>
      </c>
      <c r="G54" s="21">
        <v>0.55000000000000004</v>
      </c>
      <c r="H54" s="19">
        <v>0.33</v>
      </c>
      <c r="I54" s="20">
        <v>0.11</v>
      </c>
      <c r="J54" s="21">
        <v>0.16</v>
      </c>
      <c r="K54" s="19">
        <v>0.36</v>
      </c>
      <c r="L54" s="20">
        <v>0.48</v>
      </c>
      <c r="M54" s="21">
        <v>0.41</v>
      </c>
    </row>
    <row r="55" spans="1:13" x14ac:dyDescent="0.25">
      <c r="A55" s="18" t="s">
        <v>14</v>
      </c>
      <c r="B55" s="22">
        <v>0.26</v>
      </c>
      <c r="C55" s="20">
        <v>0.18</v>
      </c>
      <c r="D55" s="21">
        <v>0.21</v>
      </c>
      <c r="E55" s="22">
        <v>0.46</v>
      </c>
      <c r="F55" s="20">
        <v>0.37</v>
      </c>
      <c r="G55" s="21">
        <v>0.41</v>
      </c>
      <c r="H55" s="19">
        <v>0.26</v>
      </c>
      <c r="I55" s="20">
        <v>0.1</v>
      </c>
      <c r="J55" s="21">
        <v>0.14000000000000001</v>
      </c>
      <c r="K55" s="19">
        <v>0.31</v>
      </c>
      <c r="L55" s="20">
        <v>0.42</v>
      </c>
      <c r="M55" s="21">
        <v>0.36</v>
      </c>
    </row>
    <row r="56" spans="1:13" x14ac:dyDescent="0.25">
      <c r="A56" s="18" t="s">
        <v>15</v>
      </c>
      <c r="B56" s="22">
        <v>0.26</v>
      </c>
      <c r="C56" s="20">
        <v>0.2</v>
      </c>
      <c r="D56" s="21">
        <v>0.23</v>
      </c>
      <c r="E56" s="22">
        <v>0.48</v>
      </c>
      <c r="F56" s="20">
        <v>0.38</v>
      </c>
      <c r="G56" s="21">
        <v>0.42</v>
      </c>
      <c r="H56" s="19">
        <v>0.3</v>
      </c>
      <c r="I56" s="20">
        <v>0.1</v>
      </c>
      <c r="J56" s="21">
        <v>0.15</v>
      </c>
      <c r="K56" s="19">
        <v>0.33</v>
      </c>
      <c r="L56" s="20">
        <v>0.42</v>
      </c>
      <c r="M56" s="21">
        <v>0.37</v>
      </c>
    </row>
    <row r="57" spans="1:13" x14ac:dyDescent="0.25">
      <c r="A57" s="18" t="s">
        <v>16</v>
      </c>
      <c r="B57" s="22">
        <v>0.69</v>
      </c>
      <c r="C57" s="20">
        <v>0.78</v>
      </c>
      <c r="D57" s="21">
        <v>0.73</v>
      </c>
      <c r="E57" s="22">
        <v>0.28999999999999998</v>
      </c>
      <c r="F57" s="20">
        <v>0.82</v>
      </c>
      <c r="G57" s="21">
        <v>0.43</v>
      </c>
      <c r="H57" s="19">
        <v>0.34</v>
      </c>
      <c r="I57" s="20">
        <v>0.78</v>
      </c>
      <c r="J57" s="21">
        <v>0.47</v>
      </c>
      <c r="K57" s="19">
        <v>0.61</v>
      </c>
      <c r="L57" s="20">
        <v>0.81</v>
      </c>
      <c r="M57" s="21">
        <v>0.69</v>
      </c>
    </row>
    <row r="58" spans="1:13" ht="15.75" thickBot="1" x14ac:dyDescent="0.3">
      <c r="A58" s="23" t="s">
        <v>17</v>
      </c>
      <c r="B58" s="26">
        <v>0.69</v>
      </c>
      <c r="C58" s="24">
        <v>0.87</v>
      </c>
      <c r="D58" s="25">
        <v>0.77</v>
      </c>
      <c r="E58" s="26">
        <v>0.3</v>
      </c>
      <c r="F58" s="24">
        <v>0.83</v>
      </c>
      <c r="G58" s="25">
        <v>0.44</v>
      </c>
      <c r="H58" s="27">
        <v>0.36</v>
      </c>
      <c r="I58" s="24">
        <v>0.82</v>
      </c>
      <c r="J58" s="25">
        <v>0.5</v>
      </c>
      <c r="K58" s="27">
        <v>0.65</v>
      </c>
      <c r="L58" s="24">
        <v>0.81</v>
      </c>
      <c r="M58" s="25">
        <v>0.72</v>
      </c>
    </row>
    <row r="59" spans="1:13" ht="16.5" thickBot="1" x14ac:dyDescent="0.3">
      <c r="A59" s="8" t="s">
        <v>18</v>
      </c>
      <c r="B59" s="9">
        <v>0.45</v>
      </c>
      <c r="C59" s="10">
        <v>1</v>
      </c>
      <c r="D59" s="11">
        <v>0.62</v>
      </c>
      <c r="E59" s="9">
        <v>0.26</v>
      </c>
      <c r="F59" s="10">
        <v>1</v>
      </c>
      <c r="G59" s="11">
        <v>0.41</v>
      </c>
      <c r="H59" s="12">
        <v>0.38</v>
      </c>
      <c r="I59" s="10">
        <v>0.8</v>
      </c>
      <c r="J59" s="11">
        <v>0.52</v>
      </c>
      <c r="K59" s="12">
        <v>0.1</v>
      </c>
      <c r="L59" s="10">
        <v>1</v>
      </c>
      <c r="M59" s="11">
        <v>0.18</v>
      </c>
    </row>
    <row r="60" spans="1:13" ht="15.75" x14ac:dyDescent="0.25">
      <c r="A60" s="31" t="s">
        <v>19</v>
      </c>
      <c r="B60" s="17">
        <v>0.81</v>
      </c>
      <c r="C60" s="15">
        <v>0.77</v>
      </c>
      <c r="D60" s="16">
        <v>0.79</v>
      </c>
      <c r="E60" s="17">
        <v>0.9</v>
      </c>
      <c r="F60" s="15">
        <v>1</v>
      </c>
      <c r="G60" s="16">
        <v>0.95</v>
      </c>
      <c r="H60" s="14">
        <v>0.84</v>
      </c>
      <c r="I60" s="15">
        <v>0.88</v>
      </c>
      <c r="J60" s="16">
        <v>0.86</v>
      </c>
      <c r="K60" s="14">
        <v>0.73</v>
      </c>
      <c r="L60" s="15">
        <v>0.95</v>
      </c>
      <c r="M60" s="16">
        <v>0.83</v>
      </c>
    </row>
    <row r="61" spans="1:13" x14ac:dyDescent="0.25">
      <c r="A61" s="32" t="s">
        <v>20</v>
      </c>
      <c r="B61" s="22">
        <v>0.65</v>
      </c>
      <c r="C61" s="20">
        <v>0.26</v>
      </c>
      <c r="D61" s="21">
        <v>0.38</v>
      </c>
      <c r="E61" s="22">
        <v>0.24</v>
      </c>
      <c r="F61" s="20">
        <v>0.09</v>
      </c>
      <c r="G61" s="21">
        <v>0.13</v>
      </c>
      <c r="H61" s="19">
        <v>0.41</v>
      </c>
      <c r="I61" s="20">
        <v>0.15</v>
      </c>
      <c r="J61" s="21">
        <v>0.22</v>
      </c>
      <c r="K61" s="19">
        <v>0.43</v>
      </c>
      <c r="L61" s="20">
        <v>0.3</v>
      </c>
      <c r="M61" s="21">
        <v>0.35</v>
      </c>
    </row>
    <row r="62" spans="1:13" x14ac:dyDescent="0.25">
      <c r="A62" s="32" t="s">
        <v>21</v>
      </c>
      <c r="B62" s="22">
        <v>0.86</v>
      </c>
      <c r="C62" s="20">
        <v>0.34</v>
      </c>
      <c r="D62" s="21">
        <v>0.49</v>
      </c>
      <c r="E62" s="22">
        <v>0.28999999999999998</v>
      </c>
      <c r="F62" s="20">
        <v>0.09</v>
      </c>
      <c r="G62" s="21">
        <v>0.14000000000000001</v>
      </c>
      <c r="H62" s="19">
        <v>0.54</v>
      </c>
      <c r="I62" s="20">
        <v>0.17</v>
      </c>
      <c r="J62" s="21">
        <v>0.25</v>
      </c>
      <c r="K62" s="19">
        <v>0.61</v>
      </c>
      <c r="L62" s="20">
        <v>0.32</v>
      </c>
      <c r="M62" s="21">
        <v>0.42</v>
      </c>
    </row>
    <row r="63" spans="1:13" x14ac:dyDescent="0.25">
      <c r="A63" s="32" t="s">
        <v>22</v>
      </c>
      <c r="B63" s="22">
        <v>0.65</v>
      </c>
      <c r="C63" s="20">
        <v>0.26</v>
      </c>
      <c r="D63" s="21">
        <v>0.38</v>
      </c>
      <c r="E63" s="22">
        <v>0.59</v>
      </c>
      <c r="F63" s="20">
        <v>0.21</v>
      </c>
      <c r="G63" s="21">
        <v>0.31</v>
      </c>
      <c r="H63" s="19">
        <v>0.56000000000000005</v>
      </c>
      <c r="I63" s="20">
        <v>0.2</v>
      </c>
      <c r="J63" s="21">
        <v>0.3</v>
      </c>
      <c r="K63" s="19">
        <v>0.66</v>
      </c>
      <c r="L63" s="20">
        <v>0.47</v>
      </c>
      <c r="M63" s="21">
        <v>0.55000000000000004</v>
      </c>
    </row>
    <row r="64" spans="1:13" x14ac:dyDescent="0.25">
      <c r="A64" s="32" t="s">
        <v>23</v>
      </c>
      <c r="B64" s="22">
        <v>0.87</v>
      </c>
      <c r="C64" s="20">
        <v>0.34</v>
      </c>
      <c r="D64" s="21">
        <v>0.49</v>
      </c>
      <c r="E64" s="22">
        <v>0.7</v>
      </c>
      <c r="F64" s="20">
        <v>0.21</v>
      </c>
      <c r="G64" s="21">
        <v>0.33</v>
      </c>
      <c r="H64" s="19">
        <v>0.75</v>
      </c>
      <c r="I64" s="20">
        <v>0.23</v>
      </c>
      <c r="J64" s="21">
        <v>0.35</v>
      </c>
      <c r="K64" s="19">
        <v>0.94</v>
      </c>
      <c r="L64" s="20">
        <v>0.5</v>
      </c>
      <c r="M64" s="21">
        <v>0.65</v>
      </c>
    </row>
    <row r="65" spans="1:13" x14ac:dyDescent="0.25">
      <c r="A65" s="32" t="s">
        <v>24</v>
      </c>
      <c r="B65" s="22">
        <v>0.81</v>
      </c>
      <c r="C65" s="20">
        <v>0.7</v>
      </c>
      <c r="D65" s="21">
        <v>0.75</v>
      </c>
      <c r="E65" s="22">
        <v>0.56999999999999995</v>
      </c>
      <c r="F65" s="20">
        <v>0.83</v>
      </c>
      <c r="G65" s="21">
        <v>0.68</v>
      </c>
      <c r="H65" s="19">
        <v>0.53</v>
      </c>
      <c r="I65" s="20">
        <v>0.71</v>
      </c>
      <c r="J65" s="21">
        <v>0.6</v>
      </c>
      <c r="K65" s="19">
        <v>0.72</v>
      </c>
      <c r="L65" s="20">
        <v>0.79</v>
      </c>
      <c r="M65" s="21">
        <v>0.75</v>
      </c>
    </row>
    <row r="66" spans="1:13" ht="15.75" thickBot="1" x14ac:dyDescent="0.3">
      <c r="A66" s="33" t="s">
        <v>25</v>
      </c>
      <c r="B66" s="26">
        <v>0.97</v>
      </c>
      <c r="C66" s="24">
        <v>0.91</v>
      </c>
      <c r="D66" s="25">
        <v>0.94</v>
      </c>
      <c r="E66" s="26">
        <v>0.63</v>
      </c>
      <c r="F66" s="24">
        <v>0.83</v>
      </c>
      <c r="G66" s="25">
        <v>0.71</v>
      </c>
      <c r="H66" s="27">
        <v>0.63</v>
      </c>
      <c r="I66" s="24">
        <v>0.8</v>
      </c>
      <c r="J66" s="25">
        <v>0.7</v>
      </c>
      <c r="K66" s="27">
        <v>0.95</v>
      </c>
      <c r="L66" s="24">
        <v>0.83</v>
      </c>
      <c r="M66" s="25">
        <v>0.89</v>
      </c>
    </row>
    <row r="67" spans="1:13" ht="15.75" thickBot="1" x14ac:dyDescent="0.3">
      <c r="A67" s="34" t="s">
        <v>26</v>
      </c>
      <c r="B67" s="38">
        <v>0.66</v>
      </c>
      <c r="C67" s="39">
        <v>0.63</v>
      </c>
      <c r="D67" s="37">
        <f>HARMEAN(B67,C67)</f>
        <v>0.64465116279069767</v>
      </c>
      <c r="E67" s="38">
        <v>0.57999999999999996</v>
      </c>
      <c r="F67" s="39">
        <v>0.71</v>
      </c>
      <c r="G67" s="40">
        <f>HARMEAN(E67,F67)</f>
        <v>0.63844961240310072</v>
      </c>
      <c r="H67" s="41">
        <v>0.53</v>
      </c>
      <c r="I67" s="39">
        <v>0.61</v>
      </c>
      <c r="J67" s="40">
        <f>HARMEAN(H67,I67)</f>
        <v>0.56719298245614036</v>
      </c>
      <c r="K67" s="41">
        <v>0.52</v>
      </c>
      <c r="L67" s="39">
        <v>0.71</v>
      </c>
      <c r="M67" s="40">
        <f>HARMEAN(K67,L67)</f>
        <v>0.60032520325203254</v>
      </c>
    </row>
    <row r="68" spans="1:13" x14ac:dyDescent="0.25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ht="15.75" thickBot="1" x14ac:dyDescent="0.3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ht="21.6" customHeight="1" thickBot="1" x14ac:dyDescent="0.4">
      <c r="A70" s="1" t="s">
        <v>29</v>
      </c>
      <c r="B70" s="60" t="s">
        <v>1</v>
      </c>
      <c r="C70" s="61"/>
      <c r="D70" s="62"/>
      <c r="E70" s="60" t="s">
        <v>2</v>
      </c>
      <c r="F70" s="63"/>
      <c r="G70" s="64"/>
      <c r="H70" s="65" t="s">
        <v>3</v>
      </c>
      <c r="I70" s="63"/>
      <c r="J70" s="64"/>
      <c r="K70" s="65" t="s">
        <v>4</v>
      </c>
      <c r="L70" s="63"/>
      <c r="M70" s="64"/>
    </row>
    <row r="71" spans="1:13" ht="15.75" thickBot="1" x14ac:dyDescent="0.3">
      <c r="A71" s="2"/>
      <c r="B71" s="3" t="s">
        <v>5</v>
      </c>
      <c r="C71" s="4" t="s">
        <v>6</v>
      </c>
      <c r="D71" s="5" t="s">
        <v>7</v>
      </c>
      <c r="E71" s="3" t="s">
        <v>5</v>
      </c>
      <c r="F71" s="4" t="s">
        <v>6</v>
      </c>
      <c r="G71" s="5" t="s">
        <v>7</v>
      </c>
      <c r="H71" s="6" t="s">
        <v>5</v>
      </c>
      <c r="I71" s="4" t="s">
        <v>6</v>
      </c>
      <c r="J71" s="5" t="s">
        <v>7</v>
      </c>
      <c r="K71" s="6" t="s">
        <v>5</v>
      </c>
      <c r="L71" s="4" t="s">
        <v>6</v>
      </c>
      <c r="M71" s="5" t="s">
        <v>7</v>
      </c>
    </row>
    <row r="72" spans="1:13" ht="16.5" thickBot="1" x14ac:dyDescent="0.3">
      <c r="A72" s="8" t="s">
        <v>8</v>
      </c>
      <c r="B72" s="9">
        <v>0.5</v>
      </c>
      <c r="C72" s="10">
        <v>0.56999999999999995</v>
      </c>
      <c r="D72" s="11">
        <v>0.53</v>
      </c>
      <c r="E72" s="9">
        <v>0.43</v>
      </c>
      <c r="F72" s="10">
        <v>1</v>
      </c>
      <c r="G72" s="11">
        <v>0.6</v>
      </c>
      <c r="H72" s="12">
        <v>0.46</v>
      </c>
      <c r="I72" s="10">
        <v>1</v>
      </c>
      <c r="J72" s="11">
        <v>0.63</v>
      </c>
      <c r="K72" s="12">
        <v>0.14000000000000001</v>
      </c>
      <c r="L72" s="10">
        <v>0.83</v>
      </c>
      <c r="M72" s="11">
        <v>0.23</v>
      </c>
    </row>
    <row r="73" spans="1:13" ht="15.75" x14ac:dyDescent="0.25">
      <c r="A73" s="13" t="s">
        <v>9</v>
      </c>
      <c r="B73" s="17">
        <v>1</v>
      </c>
      <c r="C73" s="15">
        <v>0.95</v>
      </c>
      <c r="D73" s="16">
        <v>0.97</v>
      </c>
      <c r="E73" s="17">
        <v>0.91</v>
      </c>
      <c r="F73" s="15">
        <v>0.99</v>
      </c>
      <c r="G73" s="16">
        <v>0.95</v>
      </c>
      <c r="H73" s="14">
        <v>0.89</v>
      </c>
      <c r="I73" s="15">
        <v>0.98</v>
      </c>
      <c r="J73" s="16">
        <v>0.93</v>
      </c>
      <c r="K73" s="14">
        <v>0.87</v>
      </c>
      <c r="L73" s="15">
        <v>0.97</v>
      </c>
      <c r="M73" s="16">
        <v>0.92</v>
      </c>
    </row>
    <row r="74" spans="1:13" x14ac:dyDescent="0.25">
      <c r="A74" s="18" t="s">
        <v>10</v>
      </c>
      <c r="B74" s="22">
        <v>0.05</v>
      </c>
      <c r="C74" s="20">
        <v>0.05</v>
      </c>
      <c r="D74" s="21">
        <v>0.05</v>
      </c>
      <c r="E74" s="22">
        <v>0.86</v>
      </c>
      <c r="F74" s="20">
        <v>0.93</v>
      </c>
      <c r="G74" s="21">
        <v>0.89</v>
      </c>
      <c r="H74" s="19">
        <v>0.89</v>
      </c>
      <c r="I74" s="20">
        <v>0.97</v>
      </c>
      <c r="J74" s="21">
        <v>0.93</v>
      </c>
      <c r="K74" s="19">
        <v>0.36</v>
      </c>
      <c r="L74" s="20">
        <v>0.41</v>
      </c>
      <c r="M74" s="21">
        <v>0.38</v>
      </c>
    </row>
    <row r="75" spans="1:13" x14ac:dyDescent="0.25">
      <c r="A75" s="18" t="s">
        <v>11</v>
      </c>
      <c r="B75" s="22">
        <v>0.05</v>
      </c>
      <c r="C75" s="20">
        <v>0.05</v>
      </c>
      <c r="D75" s="21">
        <v>0.05</v>
      </c>
      <c r="E75" s="22">
        <v>0.94</v>
      </c>
      <c r="F75" s="20">
        <v>0.94</v>
      </c>
      <c r="G75" s="21">
        <v>0.94</v>
      </c>
      <c r="H75" s="19">
        <v>0.99</v>
      </c>
      <c r="I75" s="20">
        <v>0.99</v>
      </c>
      <c r="J75" s="21">
        <v>0.99</v>
      </c>
      <c r="K75" s="19">
        <v>0.42</v>
      </c>
      <c r="L75" s="20">
        <v>0.42</v>
      </c>
      <c r="M75" s="21">
        <v>0.42</v>
      </c>
    </row>
    <row r="76" spans="1:13" x14ac:dyDescent="0.25">
      <c r="A76" s="18" t="s">
        <v>12</v>
      </c>
      <c r="B76" s="22">
        <v>0.19</v>
      </c>
      <c r="C76" s="20">
        <v>0.35</v>
      </c>
      <c r="D76" s="21">
        <v>0.25</v>
      </c>
      <c r="E76" s="22">
        <v>0.59</v>
      </c>
      <c r="F76" s="20">
        <v>0.6</v>
      </c>
      <c r="G76" s="21">
        <v>0.59</v>
      </c>
      <c r="H76" s="19">
        <v>0.74</v>
      </c>
      <c r="I76" s="20">
        <v>0.6</v>
      </c>
      <c r="J76" s="21">
        <v>0.66</v>
      </c>
      <c r="K76" s="19">
        <v>0.3</v>
      </c>
      <c r="L76" s="20">
        <v>0.67</v>
      </c>
      <c r="M76" s="21">
        <v>0.41</v>
      </c>
    </row>
    <row r="77" spans="1:13" x14ac:dyDescent="0.25">
      <c r="A77" s="18" t="s">
        <v>13</v>
      </c>
      <c r="B77" s="22">
        <v>0.19</v>
      </c>
      <c r="C77" s="20">
        <v>0.37</v>
      </c>
      <c r="D77" s="21">
        <v>0.25</v>
      </c>
      <c r="E77" s="22">
        <v>0.66</v>
      </c>
      <c r="F77" s="20">
        <v>0.61</v>
      </c>
      <c r="G77" s="21">
        <v>0.63</v>
      </c>
      <c r="H77" s="19">
        <v>0.87</v>
      </c>
      <c r="I77" s="20">
        <v>0.61</v>
      </c>
      <c r="J77" s="21">
        <v>0.72</v>
      </c>
      <c r="K77" s="19">
        <v>0.35</v>
      </c>
      <c r="L77" s="20">
        <v>0.69</v>
      </c>
      <c r="M77" s="21">
        <v>0.46</v>
      </c>
    </row>
    <row r="78" spans="1:13" x14ac:dyDescent="0.25">
      <c r="A78" s="18" t="s">
        <v>14</v>
      </c>
      <c r="B78" s="22">
        <v>0.31</v>
      </c>
      <c r="C78" s="20">
        <v>0.61</v>
      </c>
      <c r="D78" s="21">
        <v>0.41</v>
      </c>
      <c r="E78" s="22">
        <v>0.57999999999999996</v>
      </c>
      <c r="F78" s="20">
        <v>0.55000000000000004</v>
      </c>
      <c r="G78" s="21">
        <v>0.56999999999999995</v>
      </c>
      <c r="H78" s="19">
        <v>0.64</v>
      </c>
      <c r="I78" s="20">
        <v>0.55000000000000004</v>
      </c>
      <c r="J78" s="21">
        <v>0.59</v>
      </c>
      <c r="K78" s="19">
        <v>0.21</v>
      </c>
      <c r="L78" s="20">
        <v>0.47</v>
      </c>
      <c r="M78" s="21">
        <v>0.28999999999999998</v>
      </c>
    </row>
    <row r="79" spans="1:13" x14ac:dyDescent="0.25">
      <c r="A79" s="18" t="s">
        <v>15</v>
      </c>
      <c r="B79" s="22">
        <v>0.31</v>
      </c>
      <c r="C79" s="20">
        <v>0.64</v>
      </c>
      <c r="D79" s="21">
        <v>0.42</v>
      </c>
      <c r="E79" s="22">
        <v>0.66</v>
      </c>
      <c r="F79" s="20">
        <v>0.56000000000000005</v>
      </c>
      <c r="G79" s="21">
        <v>0.6</v>
      </c>
      <c r="H79" s="19">
        <v>0.74</v>
      </c>
      <c r="I79" s="20">
        <v>0.56000000000000005</v>
      </c>
      <c r="J79" s="21">
        <v>0.64</v>
      </c>
      <c r="K79" s="19">
        <v>0.25</v>
      </c>
      <c r="L79" s="20">
        <v>0.48</v>
      </c>
      <c r="M79" s="21">
        <v>0.33</v>
      </c>
    </row>
    <row r="80" spans="1:13" x14ac:dyDescent="0.25">
      <c r="A80" s="18" t="s">
        <v>16</v>
      </c>
      <c r="B80" s="22">
        <v>0.35</v>
      </c>
      <c r="C80" s="20">
        <v>0.09</v>
      </c>
      <c r="D80" s="21">
        <v>0.14000000000000001</v>
      </c>
      <c r="E80" s="22">
        <v>0.56000000000000005</v>
      </c>
      <c r="F80" s="20">
        <v>0.78</v>
      </c>
      <c r="G80" s="21">
        <v>0.65</v>
      </c>
      <c r="H80" s="19">
        <v>0.6</v>
      </c>
      <c r="I80" s="20">
        <v>0.77</v>
      </c>
      <c r="J80" s="21">
        <v>0.67</v>
      </c>
      <c r="K80" s="19">
        <v>0.28000000000000003</v>
      </c>
      <c r="L80" s="20">
        <v>0.12</v>
      </c>
      <c r="M80" s="21">
        <v>0.17</v>
      </c>
    </row>
    <row r="81" spans="1:13" ht="15.75" thickBot="1" x14ac:dyDescent="0.3">
      <c r="A81" s="23" t="s">
        <v>17</v>
      </c>
      <c r="B81" s="26">
        <v>0.35</v>
      </c>
      <c r="C81" s="24">
        <v>0.09</v>
      </c>
      <c r="D81" s="25">
        <v>0.15</v>
      </c>
      <c r="E81" s="26">
        <v>0.72</v>
      </c>
      <c r="F81" s="24">
        <v>0.79</v>
      </c>
      <c r="G81" s="25">
        <v>0.76</v>
      </c>
      <c r="H81" s="27">
        <v>0.74</v>
      </c>
      <c r="I81" s="24">
        <v>0.78</v>
      </c>
      <c r="J81" s="25">
        <v>0.76</v>
      </c>
      <c r="K81" s="27">
        <v>0.42</v>
      </c>
      <c r="L81" s="24">
        <v>0.12</v>
      </c>
      <c r="M81" s="25">
        <v>0.19</v>
      </c>
    </row>
    <row r="82" spans="1:13" ht="16.5" thickBot="1" x14ac:dyDescent="0.3">
      <c r="A82" s="8" t="s">
        <v>18</v>
      </c>
      <c r="B82" s="9">
        <v>0.32</v>
      </c>
      <c r="C82" s="10">
        <v>0.82</v>
      </c>
      <c r="D82" s="11">
        <v>0.46</v>
      </c>
      <c r="E82" s="9">
        <v>0.65</v>
      </c>
      <c r="F82" s="10">
        <v>1</v>
      </c>
      <c r="G82" s="11">
        <v>0.79</v>
      </c>
      <c r="H82" s="12">
        <v>0.52</v>
      </c>
      <c r="I82" s="10">
        <v>1</v>
      </c>
      <c r="J82" s="11">
        <v>0.69</v>
      </c>
      <c r="K82" s="12">
        <v>0.38</v>
      </c>
      <c r="L82" s="10">
        <v>0.82</v>
      </c>
      <c r="M82" s="11">
        <v>0.51</v>
      </c>
    </row>
    <row r="83" spans="1:13" ht="15.75" x14ac:dyDescent="0.25">
      <c r="A83" s="31" t="s">
        <v>19</v>
      </c>
      <c r="B83" s="17">
        <v>0.62</v>
      </c>
      <c r="C83" s="15">
        <v>0.24</v>
      </c>
      <c r="D83" s="16">
        <v>0.35</v>
      </c>
      <c r="E83" s="17">
        <v>0.98</v>
      </c>
      <c r="F83" s="15">
        <v>0.98</v>
      </c>
      <c r="G83" s="16">
        <v>0.98</v>
      </c>
      <c r="H83" s="14">
        <v>0.96</v>
      </c>
      <c r="I83" s="15">
        <v>1</v>
      </c>
      <c r="J83" s="16">
        <v>0.98</v>
      </c>
      <c r="K83" s="14">
        <v>0.71</v>
      </c>
      <c r="L83" s="15">
        <v>0.84</v>
      </c>
      <c r="M83" s="16">
        <v>0.77</v>
      </c>
    </row>
    <row r="84" spans="1:13" x14ac:dyDescent="0.25">
      <c r="A84" s="32" t="s">
        <v>20</v>
      </c>
      <c r="B84" s="22">
        <v>0.43</v>
      </c>
      <c r="C84" s="20">
        <v>0.2</v>
      </c>
      <c r="D84" s="21">
        <v>0.28000000000000003</v>
      </c>
      <c r="E84" s="22">
        <v>0.63</v>
      </c>
      <c r="F84" s="20">
        <v>0.97</v>
      </c>
      <c r="G84" s="21">
        <v>0.77</v>
      </c>
      <c r="H84" s="19">
        <v>0.65</v>
      </c>
      <c r="I84" s="20">
        <v>0.99</v>
      </c>
      <c r="J84" s="21">
        <v>0.79</v>
      </c>
      <c r="K84" s="19">
        <v>0.63</v>
      </c>
      <c r="L84" s="20">
        <v>0.82</v>
      </c>
      <c r="M84" s="21">
        <v>0.71</v>
      </c>
    </row>
    <row r="85" spans="1:13" x14ac:dyDescent="0.25">
      <c r="A85" s="32" t="s">
        <v>21</v>
      </c>
      <c r="B85" s="22">
        <v>0.7</v>
      </c>
      <c r="C85" s="20">
        <v>1</v>
      </c>
      <c r="D85" s="21">
        <v>0.82</v>
      </c>
      <c r="E85" s="22">
        <v>0.64</v>
      </c>
      <c r="F85" s="20">
        <v>1</v>
      </c>
      <c r="G85" s="21">
        <v>0.78</v>
      </c>
      <c r="H85" s="19">
        <v>0.68</v>
      </c>
      <c r="I85" s="20">
        <v>1</v>
      </c>
      <c r="J85" s="21">
        <v>0.81</v>
      </c>
      <c r="K85" s="19">
        <v>0.88</v>
      </c>
      <c r="L85" s="20">
        <v>1</v>
      </c>
      <c r="M85" s="21">
        <v>0.94</v>
      </c>
    </row>
    <row r="86" spans="1:13" x14ac:dyDescent="0.25">
      <c r="A86" s="32" t="s">
        <v>22</v>
      </c>
      <c r="B86" s="22">
        <v>0.43</v>
      </c>
      <c r="C86" s="20">
        <v>0.2</v>
      </c>
      <c r="D86" s="21">
        <v>0.28000000000000003</v>
      </c>
      <c r="E86" s="22">
        <v>0.63</v>
      </c>
      <c r="F86" s="20">
        <v>0.97</v>
      </c>
      <c r="G86" s="21">
        <v>0.77</v>
      </c>
      <c r="H86" s="19">
        <v>0.65</v>
      </c>
      <c r="I86" s="20">
        <v>0.99</v>
      </c>
      <c r="J86" s="21">
        <v>0.79</v>
      </c>
      <c r="K86" s="19">
        <v>0.63</v>
      </c>
      <c r="L86" s="20">
        <v>0.82</v>
      </c>
      <c r="M86" s="21">
        <v>0.71</v>
      </c>
    </row>
    <row r="87" spans="1:13" x14ac:dyDescent="0.25">
      <c r="A87" s="32" t="s">
        <v>23</v>
      </c>
      <c r="B87" s="22">
        <v>0.7</v>
      </c>
      <c r="C87" s="20">
        <v>1</v>
      </c>
      <c r="D87" s="21">
        <v>0.82</v>
      </c>
      <c r="E87" s="22">
        <v>0.64</v>
      </c>
      <c r="F87" s="20">
        <v>1</v>
      </c>
      <c r="G87" s="21">
        <v>0.78</v>
      </c>
      <c r="H87" s="19">
        <v>0.68</v>
      </c>
      <c r="I87" s="20">
        <v>1</v>
      </c>
      <c r="J87" s="21">
        <v>0.81</v>
      </c>
      <c r="K87" s="19">
        <v>0.88</v>
      </c>
      <c r="L87" s="20">
        <v>1</v>
      </c>
      <c r="M87" s="21">
        <v>0.94</v>
      </c>
    </row>
    <row r="88" spans="1:13" x14ac:dyDescent="0.25">
      <c r="A88" s="32" t="s">
        <v>24</v>
      </c>
      <c r="B88" s="22">
        <v>0.56000000000000005</v>
      </c>
      <c r="C88" s="20">
        <v>0.12</v>
      </c>
      <c r="D88" s="21">
        <v>0.19</v>
      </c>
      <c r="E88" s="22">
        <v>0.85</v>
      </c>
      <c r="F88" s="20">
        <v>0.75</v>
      </c>
      <c r="G88" s="21">
        <v>0.8</v>
      </c>
      <c r="H88" s="19">
        <v>0.82</v>
      </c>
      <c r="I88" s="20">
        <v>0.75</v>
      </c>
      <c r="J88" s="21">
        <v>0.78</v>
      </c>
      <c r="K88" s="19">
        <v>0.66</v>
      </c>
      <c r="L88" s="20">
        <v>0.34</v>
      </c>
      <c r="M88" s="21">
        <v>0.45</v>
      </c>
    </row>
    <row r="89" spans="1:13" ht="15.75" thickBot="1" x14ac:dyDescent="0.3">
      <c r="A89" s="33" t="s">
        <v>25</v>
      </c>
      <c r="B89" s="26">
        <v>0.83</v>
      </c>
      <c r="C89" s="24">
        <v>0.42</v>
      </c>
      <c r="D89" s="25">
        <v>0.56000000000000005</v>
      </c>
      <c r="E89" s="26">
        <v>0.86</v>
      </c>
      <c r="F89" s="24">
        <v>0.77</v>
      </c>
      <c r="G89" s="25">
        <v>0.81</v>
      </c>
      <c r="H89" s="27">
        <v>0.85</v>
      </c>
      <c r="I89" s="24">
        <v>0.75</v>
      </c>
      <c r="J89" s="25">
        <v>0.8</v>
      </c>
      <c r="K89" s="27">
        <v>0.9</v>
      </c>
      <c r="L89" s="24">
        <v>0.4</v>
      </c>
      <c r="M89" s="25">
        <v>0.56000000000000005</v>
      </c>
    </row>
    <row r="90" spans="1:13" ht="15.75" thickBot="1" x14ac:dyDescent="0.3">
      <c r="A90" s="34" t="s">
        <v>26</v>
      </c>
      <c r="B90" s="38">
        <v>0.43</v>
      </c>
      <c r="C90" s="39">
        <v>0.38</v>
      </c>
      <c r="D90" s="37">
        <f>HARMEAN(B90,C90)</f>
        <v>0.40345679012345675</v>
      </c>
      <c r="E90" s="38">
        <v>0.7</v>
      </c>
      <c r="F90" s="39">
        <v>0.87</v>
      </c>
      <c r="G90" s="40">
        <f>HARMEAN(E90,F90)</f>
        <v>0.77579617834394898</v>
      </c>
      <c r="H90" s="41">
        <v>0.71</v>
      </c>
      <c r="I90" s="39">
        <v>0.87</v>
      </c>
      <c r="J90" s="40">
        <f>HARMEAN(H90,I90)</f>
        <v>0.78189873417721523</v>
      </c>
      <c r="K90" s="41">
        <v>0.47</v>
      </c>
      <c r="L90" s="39">
        <v>0.65</v>
      </c>
      <c r="M90" s="40">
        <f>HARMEAN(K90,L90)</f>
        <v>0.54553571428571435</v>
      </c>
    </row>
    <row r="91" spans="1:13" x14ac:dyDescent="0.25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ht="15.75" thickBot="1" x14ac:dyDescent="0.3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ht="21.6" customHeight="1" thickBot="1" x14ac:dyDescent="0.4">
      <c r="A93" s="1" t="s">
        <v>30</v>
      </c>
      <c r="B93" s="60" t="s">
        <v>1</v>
      </c>
      <c r="C93" s="61"/>
      <c r="D93" s="62"/>
      <c r="E93" s="60" t="s">
        <v>2</v>
      </c>
      <c r="F93" s="63"/>
      <c r="G93" s="64"/>
      <c r="H93" s="65" t="s">
        <v>3</v>
      </c>
      <c r="I93" s="63"/>
      <c r="J93" s="64"/>
      <c r="K93" s="65" t="s">
        <v>4</v>
      </c>
      <c r="L93" s="63"/>
      <c r="M93" s="64"/>
    </row>
    <row r="94" spans="1:13" ht="15.75" thickBot="1" x14ac:dyDescent="0.3">
      <c r="A94" s="2"/>
      <c r="B94" s="3" t="s">
        <v>5</v>
      </c>
      <c r="C94" s="4" t="s">
        <v>6</v>
      </c>
      <c r="D94" s="5" t="s">
        <v>7</v>
      </c>
      <c r="E94" s="3" t="s">
        <v>5</v>
      </c>
      <c r="F94" s="4" t="s">
        <v>6</v>
      </c>
      <c r="G94" s="5" t="s">
        <v>7</v>
      </c>
      <c r="H94" s="6" t="s">
        <v>5</v>
      </c>
      <c r="I94" s="4" t="s">
        <v>6</v>
      </c>
      <c r="J94" s="5" t="s">
        <v>7</v>
      </c>
      <c r="K94" s="6" t="s">
        <v>5</v>
      </c>
      <c r="L94" s="4" t="s">
        <v>6</v>
      </c>
      <c r="M94" s="5" t="s">
        <v>7</v>
      </c>
    </row>
    <row r="95" spans="1:13" ht="16.5" thickBot="1" x14ac:dyDescent="0.3">
      <c r="A95" s="8" t="s">
        <v>8</v>
      </c>
      <c r="B95" s="9">
        <v>0.4</v>
      </c>
      <c r="C95" s="10">
        <v>0.67</v>
      </c>
      <c r="D95" s="11">
        <v>0.5</v>
      </c>
      <c r="E95" s="9">
        <v>0.41</v>
      </c>
      <c r="F95" s="10">
        <v>1</v>
      </c>
      <c r="G95" s="11">
        <v>0.59</v>
      </c>
      <c r="H95" s="12">
        <v>0.5</v>
      </c>
      <c r="I95" s="10">
        <v>0.83</v>
      </c>
      <c r="J95" s="11">
        <v>0.62</v>
      </c>
      <c r="K95" s="12">
        <v>0.32</v>
      </c>
      <c r="L95" s="10">
        <v>0.92</v>
      </c>
      <c r="M95" s="11">
        <v>0.48</v>
      </c>
    </row>
    <row r="96" spans="1:13" ht="15.75" x14ac:dyDescent="0.25">
      <c r="A96" s="13" t="s">
        <v>9</v>
      </c>
      <c r="B96" s="17">
        <v>0.88</v>
      </c>
      <c r="C96" s="15">
        <v>0.99</v>
      </c>
      <c r="D96" s="16">
        <v>0.93</v>
      </c>
      <c r="E96" s="17">
        <v>0.93</v>
      </c>
      <c r="F96" s="15">
        <v>0.97</v>
      </c>
      <c r="G96" s="16">
        <v>0.95</v>
      </c>
      <c r="H96" s="14">
        <v>0.89</v>
      </c>
      <c r="I96" s="15">
        <v>0.99</v>
      </c>
      <c r="J96" s="16">
        <v>0.94</v>
      </c>
      <c r="K96" s="14">
        <v>0.71</v>
      </c>
      <c r="L96" s="15">
        <v>0.99</v>
      </c>
      <c r="M96" s="16">
        <v>0.83</v>
      </c>
    </row>
    <row r="97" spans="1:13" x14ac:dyDescent="0.25">
      <c r="A97" s="18" t="s">
        <v>10</v>
      </c>
      <c r="B97" s="22">
        <v>0.84</v>
      </c>
      <c r="C97" s="20">
        <v>0.92</v>
      </c>
      <c r="D97" s="21">
        <v>0.88</v>
      </c>
      <c r="E97" s="22">
        <v>0.92</v>
      </c>
      <c r="F97" s="20">
        <v>0.97</v>
      </c>
      <c r="G97" s="21">
        <v>0.95</v>
      </c>
      <c r="H97" s="19">
        <v>0.89</v>
      </c>
      <c r="I97" s="20">
        <v>0.99</v>
      </c>
      <c r="J97" s="21">
        <v>0.94</v>
      </c>
      <c r="K97" s="19">
        <v>0.37</v>
      </c>
      <c r="L97" s="20">
        <v>0.5</v>
      </c>
      <c r="M97" s="21">
        <v>0.42</v>
      </c>
    </row>
    <row r="98" spans="1:13" x14ac:dyDescent="0.25">
      <c r="A98" s="18" t="s">
        <v>11</v>
      </c>
      <c r="B98" s="22">
        <v>0.96</v>
      </c>
      <c r="C98" s="20">
        <v>0.94</v>
      </c>
      <c r="D98" s="21">
        <v>0.95</v>
      </c>
      <c r="E98" s="22">
        <v>1</v>
      </c>
      <c r="F98" s="20">
        <v>1</v>
      </c>
      <c r="G98" s="21">
        <v>1</v>
      </c>
      <c r="H98" s="19">
        <v>1</v>
      </c>
      <c r="I98" s="20">
        <v>1</v>
      </c>
      <c r="J98" s="21">
        <v>1</v>
      </c>
      <c r="K98" s="19">
        <v>0.51</v>
      </c>
      <c r="L98" s="20">
        <v>0.51</v>
      </c>
      <c r="M98" s="21">
        <v>0.51</v>
      </c>
    </row>
    <row r="99" spans="1:13" x14ac:dyDescent="0.25">
      <c r="A99" s="18" t="s">
        <v>12</v>
      </c>
      <c r="B99" s="22">
        <v>0.16</v>
      </c>
      <c r="C99" s="20">
        <v>0.22</v>
      </c>
      <c r="D99" s="21">
        <v>0.19</v>
      </c>
      <c r="E99" s="22">
        <v>0.15</v>
      </c>
      <c r="F99" s="20">
        <v>0.09</v>
      </c>
      <c r="G99" s="21">
        <v>0.11</v>
      </c>
      <c r="H99" s="19">
        <v>0.4</v>
      </c>
      <c r="I99" s="20">
        <v>0.25</v>
      </c>
      <c r="J99" s="21">
        <v>0.31</v>
      </c>
      <c r="K99" s="19">
        <v>0.15</v>
      </c>
      <c r="L99" s="20">
        <v>0.32</v>
      </c>
      <c r="M99" s="21">
        <v>0.2</v>
      </c>
    </row>
    <row r="100" spans="1:13" x14ac:dyDescent="0.25">
      <c r="A100" s="18" t="s">
        <v>13</v>
      </c>
      <c r="B100" s="22">
        <v>0.25</v>
      </c>
      <c r="C100" s="20">
        <v>0.22</v>
      </c>
      <c r="D100" s="21">
        <v>0.23</v>
      </c>
      <c r="E100" s="22">
        <v>0.18</v>
      </c>
      <c r="F100" s="20">
        <v>0.09</v>
      </c>
      <c r="G100" s="21">
        <v>0.12</v>
      </c>
      <c r="H100" s="19">
        <v>0.5</v>
      </c>
      <c r="I100" s="20">
        <v>0.25</v>
      </c>
      <c r="J100" s="21">
        <v>0.33</v>
      </c>
      <c r="K100" s="19">
        <v>0.28999999999999998</v>
      </c>
      <c r="L100" s="20">
        <v>0.32</v>
      </c>
      <c r="M100" s="21">
        <v>0.31</v>
      </c>
    </row>
    <row r="101" spans="1:13" x14ac:dyDescent="0.25">
      <c r="A101" s="18" t="s">
        <v>14</v>
      </c>
      <c r="B101" s="22">
        <v>0.11</v>
      </c>
      <c r="C101" s="20">
        <v>0.16</v>
      </c>
      <c r="D101" s="21">
        <v>0.13</v>
      </c>
      <c r="E101" s="22">
        <v>0.28999999999999998</v>
      </c>
      <c r="F101" s="20">
        <v>0.17</v>
      </c>
      <c r="G101" s="21">
        <v>0.21</v>
      </c>
      <c r="H101" s="19">
        <v>0.51</v>
      </c>
      <c r="I101" s="20">
        <v>0.31</v>
      </c>
      <c r="J101" s="21">
        <v>0.38</v>
      </c>
      <c r="K101" s="19">
        <v>0.08</v>
      </c>
      <c r="L101" s="20">
        <v>0.17</v>
      </c>
      <c r="M101" s="21">
        <v>0.11</v>
      </c>
    </row>
    <row r="102" spans="1:13" x14ac:dyDescent="0.25">
      <c r="A102" s="18" t="s">
        <v>15</v>
      </c>
      <c r="B102" s="22">
        <v>0.16</v>
      </c>
      <c r="C102" s="20">
        <v>0.17</v>
      </c>
      <c r="D102" s="21">
        <v>0.16</v>
      </c>
      <c r="E102" s="22">
        <v>0.35</v>
      </c>
      <c r="F102" s="20">
        <v>0.17</v>
      </c>
      <c r="G102" s="21">
        <v>0.23</v>
      </c>
      <c r="H102" s="19">
        <v>0.64</v>
      </c>
      <c r="I102" s="20">
        <v>0.31</v>
      </c>
      <c r="J102" s="21">
        <v>0.42</v>
      </c>
      <c r="K102" s="19">
        <v>0.16</v>
      </c>
      <c r="L102" s="20">
        <v>0.18</v>
      </c>
      <c r="M102" s="21">
        <v>0.17</v>
      </c>
    </row>
    <row r="103" spans="1:13" x14ac:dyDescent="0.25">
      <c r="A103" s="18" t="s">
        <v>16</v>
      </c>
      <c r="B103" s="22">
        <v>0.77</v>
      </c>
      <c r="C103" s="20">
        <v>0.4</v>
      </c>
      <c r="D103" s="21">
        <v>0.53</v>
      </c>
      <c r="E103" s="22">
        <v>0.6</v>
      </c>
      <c r="F103" s="20">
        <v>0.57999999999999996</v>
      </c>
      <c r="G103" s="21">
        <v>0.59</v>
      </c>
      <c r="H103" s="19">
        <v>0.65</v>
      </c>
      <c r="I103" s="20">
        <v>0.62</v>
      </c>
      <c r="J103" s="21">
        <v>0.63</v>
      </c>
      <c r="K103" s="19">
        <v>0.54</v>
      </c>
      <c r="L103" s="20">
        <v>0.41</v>
      </c>
      <c r="M103" s="21">
        <v>0.46</v>
      </c>
    </row>
    <row r="104" spans="1:13" ht="15.75" thickBot="1" x14ac:dyDescent="0.3">
      <c r="A104" s="23" t="s">
        <v>17</v>
      </c>
      <c r="B104" s="26">
        <v>0.99</v>
      </c>
      <c r="C104" s="24">
        <v>0.41</v>
      </c>
      <c r="D104" s="25">
        <v>0.57999999999999996</v>
      </c>
      <c r="E104" s="26">
        <v>0.66</v>
      </c>
      <c r="F104" s="24">
        <v>0.59</v>
      </c>
      <c r="G104" s="25">
        <v>0.62</v>
      </c>
      <c r="H104" s="27">
        <v>0.75</v>
      </c>
      <c r="I104" s="24">
        <v>0.63</v>
      </c>
      <c r="J104" s="25">
        <v>0.68</v>
      </c>
      <c r="K104" s="27">
        <v>0.98</v>
      </c>
      <c r="L104" s="24">
        <v>0.41</v>
      </c>
      <c r="M104" s="25">
        <v>0.57999999999999996</v>
      </c>
    </row>
    <row r="105" spans="1:13" ht="16.5" thickBot="1" x14ac:dyDescent="0.3">
      <c r="A105" s="8" t="s">
        <v>18</v>
      </c>
      <c r="B105" s="9">
        <v>0.09</v>
      </c>
      <c r="C105" s="10">
        <v>0.56000000000000005</v>
      </c>
      <c r="D105" s="11">
        <v>0.16</v>
      </c>
      <c r="E105" s="9">
        <v>0.3</v>
      </c>
      <c r="F105" s="10">
        <v>1</v>
      </c>
      <c r="G105" s="11">
        <v>0.46</v>
      </c>
      <c r="H105" s="12">
        <v>0.27</v>
      </c>
      <c r="I105" s="10">
        <v>0.78</v>
      </c>
      <c r="J105" s="11">
        <v>0.4</v>
      </c>
      <c r="K105" s="12">
        <v>0.04</v>
      </c>
      <c r="L105" s="10">
        <v>0.78</v>
      </c>
      <c r="M105" s="11">
        <v>0.08</v>
      </c>
    </row>
    <row r="106" spans="1:13" ht="15.75" x14ac:dyDescent="0.25">
      <c r="A106" s="31" t="s">
        <v>19</v>
      </c>
      <c r="B106" s="17">
        <v>0.14000000000000001</v>
      </c>
      <c r="C106" s="15">
        <v>0.28000000000000003</v>
      </c>
      <c r="D106" s="16">
        <v>0.19</v>
      </c>
      <c r="E106" s="17">
        <v>0.35</v>
      </c>
      <c r="F106" s="15">
        <v>0.44</v>
      </c>
      <c r="G106" s="16">
        <v>0.39</v>
      </c>
      <c r="H106" s="14">
        <v>0.13</v>
      </c>
      <c r="I106" s="15">
        <v>0.17</v>
      </c>
      <c r="J106" s="16">
        <v>0.15</v>
      </c>
      <c r="K106" s="14">
        <v>0.19</v>
      </c>
      <c r="L106" s="15">
        <v>0.48</v>
      </c>
      <c r="M106" s="16">
        <v>0.28000000000000003</v>
      </c>
    </row>
    <row r="107" spans="1:13" x14ac:dyDescent="0.25">
      <c r="A107" s="32" t="s">
        <v>20</v>
      </c>
      <c r="B107" s="22">
        <v>0</v>
      </c>
      <c r="C107" s="20">
        <v>0</v>
      </c>
      <c r="D107" s="21">
        <v>0</v>
      </c>
      <c r="E107" s="22">
        <v>0.14000000000000001</v>
      </c>
      <c r="F107" s="20">
        <v>0.15</v>
      </c>
      <c r="G107" s="21">
        <v>0.15</v>
      </c>
      <c r="H107" s="19">
        <v>7.0000000000000007E-2</v>
      </c>
      <c r="I107" s="20">
        <v>0.09</v>
      </c>
      <c r="J107" s="21">
        <v>0.08</v>
      </c>
      <c r="K107" s="19">
        <v>0</v>
      </c>
      <c r="L107" s="20">
        <v>0</v>
      </c>
      <c r="M107" s="21">
        <v>0</v>
      </c>
    </row>
    <row r="108" spans="1:13" x14ac:dyDescent="0.25">
      <c r="A108" s="32" t="s">
        <v>21</v>
      </c>
      <c r="B108" s="22">
        <v>0.06</v>
      </c>
      <c r="C108" s="20">
        <v>0</v>
      </c>
      <c r="D108" s="21">
        <v>0</v>
      </c>
      <c r="E108" s="22">
        <v>0.31</v>
      </c>
      <c r="F108" s="20">
        <v>0.36</v>
      </c>
      <c r="G108" s="21">
        <v>0.33</v>
      </c>
      <c r="H108" s="19">
        <v>0.67</v>
      </c>
      <c r="I108" s="20">
        <v>0.66</v>
      </c>
      <c r="J108" s="21">
        <v>0.66</v>
      </c>
      <c r="K108" s="19">
        <v>0.05</v>
      </c>
      <c r="L108" s="20">
        <v>0</v>
      </c>
      <c r="M108" s="21">
        <v>0</v>
      </c>
    </row>
    <row r="109" spans="1:13" x14ac:dyDescent="0.25">
      <c r="A109" s="32" t="s">
        <v>22</v>
      </c>
      <c r="B109" s="22">
        <v>0</v>
      </c>
      <c r="C109" s="20">
        <v>0</v>
      </c>
      <c r="D109" s="21">
        <v>0</v>
      </c>
      <c r="E109" s="22">
        <v>0.27</v>
      </c>
      <c r="F109" s="20">
        <v>0.28000000000000003</v>
      </c>
      <c r="G109" s="21">
        <v>0.27</v>
      </c>
      <c r="H109" s="19">
        <v>0.09</v>
      </c>
      <c r="I109" s="20">
        <v>0.11</v>
      </c>
      <c r="J109" s="21">
        <v>0.1</v>
      </c>
      <c r="K109" s="19">
        <v>0</v>
      </c>
      <c r="L109" s="20">
        <v>0</v>
      </c>
      <c r="M109" s="21">
        <v>0</v>
      </c>
    </row>
    <row r="110" spans="1:13" x14ac:dyDescent="0.25">
      <c r="A110" s="32" t="s">
        <v>23</v>
      </c>
      <c r="B110" s="22">
        <v>0</v>
      </c>
      <c r="C110" s="20">
        <v>0</v>
      </c>
      <c r="D110" s="21">
        <v>0</v>
      </c>
      <c r="E110" s="22">
        <v>0.63</v>
      </c>
      <c r="F110" s="20">
        <v>0.71</v>
      </c>
      <c r="G110" s="21">
        <v>0.67</v>
      </c>
      <c r="H110" s="19">
        <v>0.81</v>
      </c>
      <c r="I110" s="20">
        <v>0.83</v>
      </c>
      <c r="J110" s="21">
        <v>0.82</v>
      </c>
      <c r="K110" s="19">
        <v>0</v>
      </c>
      <c r="L110" s="20">
        <v>0</v>
      </c>
      <c r="M110" s="21">
        <v>0</v>
      </c>
    </row>
    <row r="111" spans="1:13" x14ac:dyDescent="0.25">
      <c r="A111" s="32" t="s">
        <v>24</v>
      </c>
      <c r="B111" s="22">
        <v>0.13</v>
      </c>
      <c r="C111" s="20">
        <v>0.17</v>
      </c>
      <c r="D111" s="21">
        <v>0.14000000000000001</v>
      </c>
      <c r="E111" s="22">
        <v>0.34</v>
      </c>
      <c r="F111" s="20">
        <v>0.42</v>
      </c>
      <c r="G111" s="21">
        <v>0.38</v>
      </c>
      <c r="H111" s="19">
        <v>0.12</v>
      </c>
      <c r="I111" s="20">
        <v>0.16</v>
      </c>
      <c r="J111" s="21">
        <v>0.14000000000000001</v>
      </c>
      <c r="K111" s="19">
        <v>0.18</v>
      </c>
      <c r="L111" s="20">
        <v>0.28000000000000003</v>
      </c>
      <c r="M111" s="21">
        <v>0.22</v>
      </c>
    </row>
    <row r="112" spans="1:13" ht="15.75" thickBot="1" x14ac:dyDescent="0.3">
      <c r="A112" s="33" t="s">
        <v>25</v>
      </c>
      <c r="B112" s="26">
        <v>0.83</v>
      </c>
      <c r="C112" s="24">
        <v>0.62</v>
      </c>
      <c r="D112" s="25">
        <v>0.71</v>
      </c>
      <c r="E112" s="26">
        <v>0.93</v>
      </c>
      <c r="F112" s="24">
        <v>0.99</v>
      </c>
      <c r="G112" s="25">
        <v>0.96</v>
      </c>
      <c r="H112" s="27">
        <v>0.97</v>
      </c>
      <c r="I112" s="24">
        <v>0.91</v>
      </c>
      <c r="J112" s="25">
        <v>0.94</v>
      </c>
      <c r="K112" s="27">
        <v>0.83</v>
      </c>
      <c r="L112" s="24">
        <v>0.62</v>
      </c>
      <c r="M112" s="25">
        <v>0.71</v>
      </c>
    </row>
    <row r="113" spans="1:13" ht="15.75" thickBot="1" x14ac:dyDescent="0.3">
      <c r="A113" s="34" t="s">
        <v>26</v>
      </c>
      <c r="B113" s="38">
        <v>0.32</v>
      </c>
      <c r="C113" s="39">
        <v>0.4</v>
      </c>
      <c r="D113" s="37">
        <f>HARMEAN(B113,C113)</f>
        <v>0.35555555555555557</v>
      </c>
      <c r="E113" s="38">
        <v>0.43</v>
      </c>
      <c r="F113" s="39">
        <v>0.55000000000000004</v>
      </c>
      <c r="G113" s="40">
        <f>HARMEAN(E113,F113)</f>
        <v>0.48265306122448981</v>
      </c>
      <c r="H113" s="41">
        <v>0.41</v>
      </c>
      <c r="I113" s="39">
        <v>0.48</v>
      </c>
      <c r="J113" s="40">
        <f>HARMEAN(H113,I113)</f>
        <v>0.44224719101123594</v>
      </c>
      <c r="K113" s="41">
        <v>0.23</v>
      </c>
      <c r="L113" s="39">
        <v>0.44</v>
      </c>
      <c r="M113" s="40">
        <f>HARMEAN(K113,L113)</f>
        <v>0.30208955223880596</v>
      </c>
    </row>
    <row r="114" spans="1:13" x14ac:dyDescent="0.25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</row>
    <row r="115" spans="1:13" ht="15.75" thickBot="1" x14ac:dyDescent="0.3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 spans="1:13" ht="21.6" customHeight="1" thickBot="1" x14ac:dyDescent="0.4">
      <c r="A116" s="1" t="s">
        <v>31</v>
      </c>
      <c r="B116" s="60" t="s">
        <v>1</v>
      </c>
      <c r="C116" s="61"/>
      <c r="D116" s="62"/>
      <c r="E116" s="60" t="s">
        <v>2</v>
      </c>
      <c r="F116" s="63"/>
      <c r="G116" s="64"/>
      <c r="H116" s="65" t="s">
        <v>3</v>
      </c>
      <c r="I116" s="63"/>
      <c r="J116" s="64"/>
      <c r="K116" s="65" t="s">
        <v>4</v>
      </c>
      <c r="L116" s="63"/>
      <c r="M116" s="64"/>
    </row>
    <row r="117" spans="1:13" ht="15.75" thickBot="1" x14ac:dyDescent="0.3">
      <c r="A117" s="2"/>
      <c r="B117" s="3" t="s">
        <v>5</v>
      </c>
      <c r="C117" s="4" t="s">
        <v>6</v>
      </c>
      <c r="D117" s="5" t="s">
        <v>7</v>
      </c>
      <c r="E117" s="3" t="s">
        <v>5</v>
      </c>
      <c r="F117" s="4" t="s">
        <v>6</v>
      </c>
      <c r="G117" s="5" t="s">
        <v>7</v>
      </c>
      <c r="H117" s="6" t="s">
        <v>5</v>
      </c>
      <c r="I117" s="4" t="s">
        <v>6</v>
      </c>
      <c r="J117" s="5" t="s">
        <v>7</v>
      </c>
      <c r="K117" s="6" t="s">
        <v>5</v>
      </c>
      <c r="L117" s="4" t="s">
        <v>6</v>
      </c>
      <c r="M117" s="5" t="s">
        <v>7</v>
      </c>
    </row>
    <row r="118" spans="1:13" ht="16.5" thickBot="1" x14ac:dyDescent="0.3">
      <c r="A118" s="8" t="s">
        <v>8</v>
      </c>
      <c r="B118" s="9">
        <v>0.84</v>
      </c>
      <c r="C118" s="10">
        <v>0.84</v>
      </c>
      <c r="D118" s="11">
        <v>0.84</v>
      </c>
      <c r="E118" s="9">
        <v>0.53</v>
      </c>
      <c r="F118" s="10">
        <v>1</v>
      </c>
      <c r="G118" s="11">
        <v>0.69</v>
      </c>
      <c r="H118" s="12">
        <v>0.69</v>
      </c>
      <c r="I118" s="10">
        <v>0.95</v>
      </c>
      <c r="J118" s="11">
        <v>0.8</v>
      </c>
      <c r="K118" s="12">
        <v>0.42</v>
      </c>
      <c r="L118" s="10">
        <v>0.84</v>
      </c>
      <c r="M118" s="11">
        <v>0.56000000000000005</v>
      </c>
    </row>
    <row r="119" spans="1:13" ht="15.75" x14ac:dyDescent="0.25">
      <c r="A119" s="13" t="s">
        <v>9</v>
      </c>
      <c r="B119" s="17">
        <v>0.91</v>
      </c>
      <c r="C119" s="15">
        <v>1</v>
      </c>
      <c r="D119" s="16">
        <v>0.95</v>
      </c>
      <c r="E119" s="17">
        <v>0.9</v>
      </c>
      <c r="F119" s="15">
        <v>1</v>
      </c>
      <c r="G119" s="16">
        <v>0.95</v>
      </c>
      <c r="H119" s="14">
        <v>0.9</v>
      </c>
      <c r="I119" s="15">
        <v>1</v>
      </c>
      <c r="J119" s="16">
        <v>0.94</v>
      </c>
      <c r="K119" s="14">
        <v>0.75</v>
      </c>
      <c r="L119" s="15">
        <v>1</v>
      </c>
      <c r="M119" s="16">
        <v>0.86</v>
      </c>
    </row>
    <row r="120" spans="1:13" x14ac:dyDescent="0.25">
      <c r="A120" s="18" t="s">
        <v>10</v>
      </c>
      <c r="B120" s="22">
        <v>0.85</v>
      </c>
      <c r="C120" s="20">
        <v>0.89</v>
      </c>
      <c r="D120" s="21">
        <v>0.87</v>
      </c>
      <c r="E120" s="22">
        <v>0.86</v>
      </c>
      <c r="F120" s="20">
        <v>0.96</v>
      </c>
      <c r="G120" s="21">
        <v>0.91</v>
      </c>
      <c r="H120" s="19">
        <v>0.85</v>
      </c>
      <c r="I120" s="20">
        <v>0.95</v>
      </c>
      <c r="J120" s="21">
        <v>0.9</v>
      </c>
      <c r="K120" s="19">
        <v>0.33</v>
      </c>
      <c r="L120" s="20">
        <v>0.43</v>
      </c>
      <c r="M120" s="21">
        <v>0.37</v>
      </c>
    </row>
    <row r="121" spans="1:13" x14ac:dyDescent="0.25">
      <c r="A121" s="18" t="s">
        <v>11</v>
      </c>
      <c r="B121" s="22">
        <v>0.93</v>
      </c>
      <c r="C121" s="20">
        <v>0.89</v>
      </c>
      <c r="D121" s="21">
        <v>0.91</v>
      </c>
      <c r="E121" s="22">
        <v>0.96</v>
      </c>
      <c r="F121" s="20">
        <v>0.96</v>
      </c>
      <c r="G121" s="21">
        <v>0.96</v>
      </c>
      <c r="H121" s="19">
        <v>0.95</v>
      </c>
      <c r="I121" s="20">
        <v>0.95</v>
      </c>
      <c r="J121" s="21">
        <v>0.95</v>
      </c>
      <c r="K121" s="19">
        <v>0.43</v>
      </c>
      <c r="L121" s="20">
        <v>0.43</v>
      </c>
      <c r="M121" s="21">
        <v>0.43</v>
      </c>
    </row>
    <row r="122" spans="1:13" x14ac:dyDescent="0.25">
      <c r="A122" s="18" t="s">
        <v>12</v>
      </c>
      <c r="B122" s="22">
        <v>0.77</v>
      </c>
      <c r="C122" s="20">
        <v>1</v>
      </c>
      <c r="D122" s="21">
        <v>0.87</v>
      </c>
      <c r="E122" s="22">
        <v>0.62</v>
      </c>
      <c r="F122" s="20">
        <v>0.99</v>
      </c>
      <c r="G122" s="21">
        <v>0.76</v>
      </c>
      <c r="H122" s="19">
        <v>0.83</v>
      </c>
      <c r="I122" s="20">
        <v>1</v>
      </c>
      <c r="J122" s="21">
        <v>0.91</v>
      </c>
      <c r="K122" s="19">
        <v>0.45</v>
      </c>
      <c r="L122" s="20">
        <v>0.98</v>
      </c>
      <c r="M122" s="21">
        <v>0.61</v>
      </c>
    </row>
    <row r="123" spans="1:13" x14ac:dyDescent="0.25">
      <c r="A123" s="18" t="s">
        <v>13</v>
      </c>
      <c r="B123" s="22">
        <v>0.85</v>
      </c>
      <c r="C123" s="20">
        <v>1</v>
      </c>
      <c r="D123" s="21">
        <v>0.92</v>
      </c>
      <c r="E123" s="22">
        <v>0.68</v>
      </c>
      <c r="F123" s="20">
        <v>0.99</v>
      </c>
      <c r="G123" s="21">
        <v>0.81</v>
      </c>
      <c r="H123" s="19">
        <v>0.93</v>
      </c>
      <c r="I123" s="20">
        <v>1</v>
      </c>
      <c r="J123" s="21">
        <v>0.96</v>
      </c>
      <c r="K123" s="19">
        <v>0.61</v>
      </c>
      <c r="L123" s="20">
        <v>0.98</v>
      </c>
      <c r="M123" s="21">
        <v>0.75</v>
      </c>
    </row>
    <row r="124" spans="1:13" x14ac:dyDescent="0.25">
      <c r="A124" s="18" t="s">
        <v>14</v>
      </c>
      <c r="B124" s="22">
        <v>0.76</v>
      </c>
      <c r="C124" s="20">
        <v>1</v>
      </c>
      <c r="D124" s="21">
        <v>0.86</v>
      </c>
      <c r="E124" s="22">
        <v>0.62</v>
      </c>
      <c r="F124" s="20">
        <v>0.99</v>
      </c>
      <c r="G124" s="21">
        <v>0.76</v>
      </c>
      <c r="H124" s="19">
        <v>0.83</v>
      </c>
      <c r="I124" s="20">
        <v>1</v>
      </c>
      <c r="J124" s="21">
        <v>0.91</v>
      </c>
      <c r="K124" s="19">
        <v>0.45</v>
      </c>
      <c r="L124" s="20">
        <v>0.98</v>
      </c>
      <c r="M124" s="21">
        <v>0.61</v>
      </c>
    </row>
    <row r="125" spans="1:13" x14ac:dyDescent="0.25">
      <c r="A125" s="18" t="s">
        <v>15</v>
      </c>
      <c r="B125" s="22">
        <v>0.83</v>
      </c>
      <c r="C125" s="20">
        <v>1</v>
      </c>
      <c r="D125" s="21">
        <v>0.91</v>
      </c>
      <c r="E125" s="22">
        <v>0.68</v>
      </c>
      <c r="F125" s="20">
        <v>0.99</v>
      </c>
      <c r="G125" s="21">
        <v>0.81</v>
      </c>
      <c r="H125" s="19">
        <v>0.93</v>
      </c>
      <c r="I125" s="20">
        <v>1</v>
      </c>
      <c r="J125" s="21">
        <v>0.96</v>
      </c>
      <c r="K125" s="19">
        <v>0.61</v>
      </c>
      <c r="L125" s="20">
        <v>0.98</v>
      </c>
      <c r="M125" s="21">
        <v>0.75</v>
      </c>
    </row>
    <row r="126" spans="1:13" x14ac:dyDescent="0.25">
      <c r="A126" s="18" t="s">
        <v>16</v>
      </c>
      <c r="B126" s="22">
        <v>0.43</v>
      </c>
      <c r="C126" s="20">
        <v>0.13</v>
      </c>
      <c r="D126" s="21">
        <v>0.2</v>
      </c>
      <c r="E126" s="22">
        <v>0.17</v>
      </c>
      <c r="F126" s="20">
        <v>0.35</v>
      </c>
      <c r="G126" s="21">
        <v>0.23</v>
      </c>
      <c r="H126" s="19">
        <v>0.42</v>
      </c>
      <c r="I126" s="20">
        <v>0.33</v>
      </c>
      <c r="J126" s="21">
        <v>0.37</v>
      </c>
      <c r="K126" s="19">
        <v>0.25</v>
      </c>
      <c r="L126" s="20">
        <v>0.18</v>
      </c>
      <c r="M126" s="21">
        <v>0.21</v>
      </c>
    </row>
    <row r="127" spans="1:13" ht="15.75" thickBot="1" x14ac:dyDescent="0.3">
      <c r="A127" s="23" t="s">
        <v>17</v>
      </c>
      <c r="B127" s="26">
        <v>0.65</v>
      </c>
      <c r="C127" s="24">
        <v>0.13</v>
      </c>
      <c r="D127" s="25">
        <v>0.21</v>
      </c>
      <c r="E127" s="26">
        <v>0.19</v>
      </c>
      <c r="F127" s="24">
        <v>0.35</v>
      </c>
      <c r="G127" s="25">
        <v>0.24</v>
      </c>
      <c r="H127" s="27">
        <v>0.51</v>
      </c>
      <c r="I127" s="24">
        <v>0.33</v>
      </c>
      <c r="J127" s="25">
        <v>0.4</v>
      </c>
      <c r="K127" s="27">
        <v>0.51</v>
      </c>
      <c r="L127" s="24">
        <v>0.17</v>
      </c>
      <c r="M127" s="25">
        <v>0.26</v>
      </c>
    </row>
    <row r="128" spans="1:13" ht="16.5" thickBot="1" x14ac:dyDescent="0.3">
      <c r="A128" s="8" t="s">
        <v>18</v>
      </c>
      <c r="B128" s="9">
        <v>0.7</v>
      </c>
      <c r="C128" s="10">
        <v>0.25</v>
      </c>
      <c r="D128" s="11">
        <v>0.37</v>
      </c>
      <c r="E128" s="9">
        <v>0.78</v>
      </c>
      <c r="F128" s="10">
        <v>0.99</v>
      </c>
      <c r="G128" s="11">
        <v>0.87</v>
      </c>
      <c r="H128" s="12">
        <v>0.52</v>
      </c>
      <c r="I128" s="10">
        <v>0.4</v>
      </c>
      <c r="J128" s="11">
        <v>0.45</v>
      </c>
      <c r="K128" s="12">
        <v>0.46</v>
      </c>
      <c r="L128" s="10">
        <v>0.97</v>
      </c>
      <c r="M128" s="11">
        <v>0.62</v>
      </c>
    </row>
    <row r="129" spans="1:13" ht="15.75" x14ac:dyDescent="0.25">
      <c r="A129" s="31" t="s">
        <v>19</v>
      </c>
      <c r="B129" s="17">
        <v>0.28000000000000003</v>
      </c>
      <c r="C129" s="15">
        <v>0.21</v>
      </c>
      <c r="D129" s="16">
        <v>0.24</v>
      </c>
      <c r="E129" s="17">
        <v>0.84</v>
      </c>
      <c r="F129" s="15">
        <v>0.94</v>
      </c>
      <c r="G129" s="16">
        <v>0.89</v>
      </c>
      <c r="H129" s="14">
        <v>0.75</v>
      </c>
      <c r="I129" s="15">
        <v>0.69</v>
      </c>
      <c r="J129" s="16">
        <v>0.72</v>
      </c>
      <c r="K129" s="14">
        <v>0.54</v>
      </c>
      <c r="L129" s="15">
        <v>0.56999999999999995</v>
      </c>
      <c r="M129" s="16">
        <v>0.55000000000000004</v>
      </c>
    </row>
    <row r="130" spans="1:13" x14ac:dyDescent="0.25">
      <c r="A130" s="32" t="s">
        <v>20</v>
      </c>
      <c r="B130" s="22">
        <v>0.24</v>
      </c>
      <c r="C130" s="20">
        <v>0.19</v>
      </c>
      <c r="D130" s="21">
        <v>0.21</v>
      </c>
      <c r="E130" s="22">
        <v>0.45</v>
      </c>
      <c r="F130" s="20">
        <v>0.89</v>
      </c>
      <c r="G130" s="21">
        <v>0.59</v>
      </c>
      <c r="H130" s="19">
        <v>0.52</v>
      </c>
      <c r="I130" s="20">
        <v>0.62</v>
      </c>
      <c r="J130" s="21">
        <v>0.56999999999999995</v>
      </c>
      <c r="K130" s="19">
        <v>0.4</v>
      </c>
      <c r="L130" s="20">
        <v>0.49</v>
      </c>
      <c r="M130" s="21">
        <v>0.44</v>
      </c>
    </row>
    <row r="131" spans="1:13" x14ac:dyDescent="0.25">
      <c r="A131" s="32" t="s">
        <v>21</v>
      </c>
      <c r="B131" s="22">
        <v>0.89</v>
      </c>
      <c r="C131" s="20">
        <v>1</v>
      </c>
      <c r="D131" s="21">
        <v>0.94</v>
      </c>
      <c r="E131" s="22">
        <v>0.53</v>
      </c>
      <c r="F131" s="20">
        <v>1</v>
      </c>
      <c r="G131" s="21">
        <v>0.69</v>
      </c>
      <c r="H131" s="19">
        <v>0.7</v>
      </c>
      <c r="I131" s="20">
        <v>1</v>
      </c>
      <c r="J131" s="21">
        <v>0.82</v>
      </c>
      <c r="K131" s="19">
        <v>0.75</v>
      </c>
      <c r="L131" s="20">
        <v>1</v>
      </c>
      <c r="M131" s="21">
        <v>0.85</v>
      </c>
    </row>
    <row r="132" spans="1:13" x14ac:dyDescent="0.25">
      <c r="A132" s="32" t="s">
        <v>22</v>
      </c>
      <c r="B132" s="22">
        <v>0.24</v>
      </c>
      <c r="C132" s="20">
        <v>0.19</v>
      </c>
      <c r="D132" s="21">
        <v>0.21</v>
      </c>
      <c r="E132" s="22">
        <v>0.45</v>
      </c>
      <c r="F132" s="20">
        <v>0.89</v>
      </c>
      <c r="G132" s="21">
        <v>0.59</v>
      </c>
      <c r="H132" s="19">
        <v>0.52</v>
      </c>
      <c r="I132" s="20">
        <v>0.62</v>
      </c>
      <c r="J132" s="21">
        <v>0.56999999999999995</v>
      </c>
      <c r="K132" s="19">
        <v>0.4</v>
      </c>
      <c r="L132" s="20">
        <v>0.49</v>
      </c>
      <c r="M132" s="21">
        <v>0.44</v>
      </c>
    </row>
    <row r="133" spans="1:13" x14ac:dyDescent="0.25">
      <c r="A133" s="32" t="s">
        <v>23</v>
      </c>
      <c r="B133" s="22">
        <v>0.89</v>
      </c>
      <c r="C133" s="20">
        <v>1</v>
      </c>
      <c r="D133" s="21">
        <v>0.94</v>
      </c>
      <c r="E133" s="22">
        <v>0.53</v>
      </c>
      <c r="F133" s="20">
        <v>1</v>
      </c>
      <c r="G133" s="21">
        <v>0.69</v>
      </c>
      <c r="H133" s="19">
        <v>0.7</v>
      </c>
      <c r="I133" s="20">
        <v>1</v>
      </c>
      <c r="J133" s="21">
        <v>0.82</v>
      </c>
      <c r="K133" s="19">
        <v>0.75</v>
      </c>
      <c r="L133" s="20">
        <v>1</v>
      </c>
      <c r="M133" s="21">
        <v>0.85</v>
      </c>
    </row>
    <row r="134" spans="1:13" x14ac:dyDescent="0.25">
      <c r="A134" s="32" t="s">
        <v>24</v>
      </c>
      <c r="B134" s="22">
        <v>0.26</v>
      </c>
      <c r="C134" s="20">
        <v>0.16</v>
      </c>
      <c r="D134" s="21">
        <v>0.2</v>
      </c>
      <c r="E134" s="22">
        <v>0.79</v>
      </c>
      <c r="F134" s="20">
        <v>0.83</v>
      </c>
      <c r="G134" s="21">
        <v>0.81</v>
      </c>
      <c r="H134" s="19">
        <v>0.72</v>
      </c>
      <c r="I134" s="20">
        <v>0.65</v>
      </c>
      <c r="J134" s="21">
        <v>0.68</v>
      </c>
      <c r="K134" s="19">
        <v>0.51</v>
      </c>
      <c r="L134" s="20">
        <v>0.35</v>
      </c>
      <c r="M134" s="21">
        <v>0.42</v>
      </c>
    </row>
    <row r="135" spans="1:13" ht="15.75" thickBot="1" x14ac:dyDescent="0.3">
      <c r="A135" s="33" t="s">
        <v>25</v>
      </c>
      <c r="B135" s="26">
        <v>0.94</v>
      </c>
      <c r="C135" s="24">
        <v>0.73</v>
      </c>
      <c r="D135" s="25">
        <v>0.82</v>
      </c>
      <c r="E135" s="26">
        <v>0.96</v>
      </c>
      <c r="F135" s="24">
        <v>0.89</v>
      </c>
      <c r="G135" s="25">
        <v>0.92</v>
      </c>
      <c r="H135" s="27">
        <v>0.97</v>
      </c>
      <c r="I135" s="24">
        <v>0.91</v>
      </c>
      <c r="J135" s="25">
        <v>0.94</v>
      </c>
      <c r="K135" s="27">
        <v>0.91</v>
      </c>
      <c r="L135" s="24">
        <v>0.59</v>
      </c>
      <c r="M135" s="25">
        <v>0.71</v>
      </c>
    </row>
    <row r="136" spans="1:13" ht="15.75" thickBot="1" x14ac:dyDescent="0.3">
      <c r="A136" s="34" t="s">
        <v>26</v>
      </c>
      <c r="B136" s="38">
        <v>0.56999999999999995</v>
      </c>
      <c r="C136" s="39">
        <v>0.53</v>
      </c>
      <c r="D136" s="37">
        <f>HARMEAN(B136,C136)</f>
        <v>0.54927272727272736</v>
      </c>
      <c r="E136" s="38">
        <v>0.64</v>
      </c>
      <c r="F136" s="39">
        <v>0.89</v>
      </c>
      <c r="G136" s="40">
        <f>HARMEAN(E136,F136)</f>
        <v>0.74457516339869279</v>
      </c>
      <c r="H136" s="41">
        <v>0.69</v>
      </c>
      <c r="I136" s="39">
        <v>0.75</v>
      </c>
      <c r="J136" s="40">
        <f>HARMEAN(H136,I136)</f>
        <v>0.71875</v>
      </c>
      <c r="K136" s="41">
        <v>0.45</v>
      </c>
      <c r="L136" s="39">
        <v>0.66</v>
      </c>
      <c r="M136" s="40">
        <f>HARMEAN(K136,L136)</f>
        <v>0.53513513513513511</v>
      </c>
    </row>
    <row r="137" spans="1:13" x14ac:dyDescent="0.25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 spans="1:13" ht="15.75" thickBot="1" x14ac:dyDescent="0.3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 spans="1:13" ht="21.6" customHeight="1" thickBot="1" x14ac:dyDescent="0.4">
      <c r="A139" s="1" t="s">
        <v>26</v>
      </c>
      <c r="B139" s="60" t="s">
        <v>1</v>
      </c>
      <c r="C139" s="61"/>
      <c r="D139" s="62"/>
      <c r="E139" s="60" t="s">
        <v>2</v>
      </c>
      <c r="F139" s="63"/>
      <c r="G139" s="64"/>
      <c r="H139" s="65" t="s">
        <v>3</v>
      </c>
      <c r="I139" s="63"/>
      <c r="J139" s="64"/>
      <c r="K139" s="65" t="s">
        <v>4</v>
      </c>
      <c r="L139" s="63"/>
      <c r="M139" s="64"/>
    </row>
    <row r="140" spans="1:13" ht="15.75" thickBot="1" x14ac:dyDescent="0.3">
      <c r="A140" s="2"/>
      <c r="B140" s="3" t="s">
        <v>5</v>
      </c>
      <c r="C140" s="4" t="s">
        <v>6</v>
      </c>
      <c r="D140" s="5" t="s">
        <v>7</v>
      </c>
      <c r="E140" s="3" t="s">
        <v>5</v>
      </c>
      <c r="F140" s="4" t="s">
        <v>6</v>
      </c>
      <c r="G140" s="5" t="s">
        <v>7</v>
      </c>
      <c r="H140" s="6" t="s">
        <v>5</v>
      </c>
      <c r="I140" s="4" t="s">
        <v>6</v>
      </c>
      <c r="J140" s="5" t="s">
        <v>7</v>
      </c>
      <c r="K140" s="6" t="s">
        <v>5</v>
      </c>
      <c r="L140" s="4" t="s">
        <v>6</v>
      </c>
      <c r="M140" s="5" t="s">
        <v>7</v>
      </c>
    </row>
    <row r="141" spans="1:13" ht="16.5" thickBot="1" x14ac:dyDescent="0.3">
      <c r="A141" s="8" t="s">
        <v>8</v>
      </c>
      <c r="B141" s="9">
        <f t="shared" ref="B141:C159" si="0" xml:space="preserve"> AVERAGE(B3, B26, B49, B72, B95,B118)</f>
        <v>0.65666666666666662</v>
      </c>
      <c r="C141" s="10">
        <f t="shared" si="0"/>
        <v>0.84666666666666668</v>
      </c>
      <c r="D141" s="11">
        <f t="shared" ref="D141:D158" si="1">HARMEAN(B141,C141)</f>
        <v>0.73966001478196597</v>
      </c>
      <c r="E141" s="12">
        <f t="shared" ref="E141:F159" si="2">AVERAGE(E3, E26, E49, E72, E95, E118)</f>
        <v>0.52833333333333332</v>
      </c>
      <c r="F141" s="10">
        <f t="shared" si="2"/>
        <v>0.97166666666666668</v>
      </c>
      <c r="G141" s="46">
        <f>HARMEAN(E141,F141)</f>
        <v>0.6844851851851852</v>
      </c>
      <c r="H141" s="9">
        <f t="shared" ref="H141:I159" si="3">AVERAGE(H3, H26, H49, H72, H95, H118)</f>
        <v>0.57500000000000007</v>
      </c>
      <c r="I141" s="10">
        <f t="shared" si="3"/>
        <v>0.96333333333333337</v>
      </c>
      <c r="J141" s="11">
        <f t="shared" ref="J141:J158" si="4">HARMEAN(H141,I141)</f>
        <v>0.72015167930660895</v>
      </c>
      <c r="K141" s="12">
        <f t="shared" ref="K141:L159" si="5">AVERAGE(K3, K26, K49, K72, K95, K118)</f>
        <v>0.26500000000000001</v>
      </c>
      <c r="L141" s="10">
        <f t="shared" si="5"/>
        <v>0.93166666666666664</v>
      </c>
      <c r="M141" s="11">
        <f t="shared" ref="M141:M158" si="6">HARMEAN(K141,L141)</f>
        <v>0.41263231197771588</v>
      </c>
    </row>
    <row r="142" spans="1:13" ht="15.75" x14ac:dyDescent="0.25">
      <c r="A142" s="51" t="s">
        <v>9</v>
      </c>
      <c r="B142" s="17">
        <f t="shared" si="0"/>
        <v>0.96499999999999997</v>
      </c>
      <c r="C142" s="15">
        <f t="shared" si="0"/>
        <v>0.91166666666666663</v>
      </c>
      <c r="D142" s="16">
        <f t="shared" si="1"/>
        <v>0.93757548845470695</v>
      </c>
      <c r="E142" s="52">
        <f t="shared" si="2"/>
        <v>0.91666666666666663</v>
      </c>
      <c r="F142" s="53">
        <f t="shared" si="2"/>
        <v>0.95666666666666667</v>
      </c>
      <c r="G142" s="54">
        <f t="shared" ref="G142:G158" si="7">HARMEAN(E142,F142)</f>
        <v>0.93623962040332143</v>
      </c>
      <c r="H142" s="55">
        <f t="shared" si="3"/>
        <v>0.88666666666666671</v>
      </c>
      <c r="I142" s="53">
        <f t="shared" si="3"/>
        <v>0.9916666666666667</v>
      </c>
      <c r="J142" s="56">
        <f t="shared" si="4"/>
        <v>0.93623188405797109</v>
      </c>
      <c r="K142" s="52">
        <f t="shared" si="5"/>
        <v>0.84166666666666667</v>
      </c>
      <c r="L142" s="53">
        <f t="shared" si="5"/>
        <v>0.93500000000000005</v>
      </c>
      <c r="M142" s="56">
        <f t="shared" si="6"/>
        <v>0.88588180112570358</v>
      </c>
    </row>
    <row r="143" spans="1:13" x14ac:dyDescent="0.25">
      <c r="A143" s="57" t="s">
        <v>10</v>
      </c>
      <c r="B143" s="22">
        <f t="shared" si="0"/>
        <v>0.78833333333333322</v>
      </c>
      <c r="C143" s="20">
        <f t="shared" si="0"/>
        <v>0.72833333333333339</v>
      </c>
      <c r="D143" s="21">
        <f t="shared" si="1"/>
        <v>0.75714652014652006</v>
      </c>
      <c r="E143" s="19">
        <f t="shared" si="2"/>
        <v>0.89666666666666683</v>
      </c>
      <c r="F143" s="20">
        <f t="shared" si="2"/>
        <v>0.93666666666666665</v>
      </c>
      <c r="G143" s="49">
        <f t="shared" si="7"/>
        <v>0.91623030303030295</v>
      </c>
      <c r="H143" s="22">
        <f t="shared" si="3"/>
        <v>0.86</v>
      </c>
      <c r="I143" s="20">
        <f t="shared" si="3"/>
        <v>0.95166666666666666</v>
      </c>
      <c r="J143" s="21">
        <f t="shared" si="4"/>
        <v>0.90351425942962271</v>
      </c>
      <c r="K143" s="19">
        <f t="shared" si="5"/>
        <v>0.51666666666666672</v>
      </c>
      <c r="L143" s="20">
        <f t="shared" si="5"/>
        <v>0.55500000000000005</v>
      </c>
      <c r="M143" s="21">
        <f t="shared" si="6"/>
        <v>0.53514774494556772</v>
      </c>
    </row>
    <row r="144" spans="1:13" x14ac:dyDescent="0.25">
      <c r="A144" s="57" t="s">
        <v>11</v>
      </c>
      <c r="B144" s="22">
        <f t="shared" si="0"/>
        <v>0.82166666666666666</v>
      </c>
      <c r="C144" s="20">
        <f t="shared" si="0"/>
        <v>0.81166666666666665</v>
      </c>
      <c r="D144" s="21">
        <f t="shared" si="1"/>
        <v>0.81663605442176879</v>
      </c>
      <c r="E144" s="19">
        <f t="shared" si="2"/>
        <v>0.98</v>
      </c>
      <c r="F144" s="20">
        <f t="shared" si="2"/>
        <v>0.98</v>
      </c>
      <c r="G144" s="49">
        <f t="shared" si="7"/>
        <v>0.98</v>
      </c>
      <c r="H144" s="22">
        <f t="shared" si="3"/>
        <v>0.96166666666666678</v>
      </c>
      <c r="I144" s="20">
        <f t="shared" si="3"/>
        <v>0.96000000000000008</v>
      </c>
      <c r="J144" s="21">
        <f t="shared" si="4"/>
        <v>0.96083261058109304</v>
      </c>
      <c r="K144" s="19">
        <f t="shared" si="5"/>
        <v>0.60500000000000009</v>
      </c>
      <c r="L144" s="20">
        <f t="shared" si="5"/>
        <v>0.60500000000000009</v>
      </c>
      <c r="M144" s="21">
        <f t="shared" si="6"/>
        <v>0.60500000000000009</v>
      </c>
    </row>
    <row r="145" spans="1:13" x14ac:dyDescent="0.25">
      <c r="A145" s="57" t="s">
        <v>12</v>
      </c>
      <c r="B145" s="22">
        <f t="shared" si="0"/>
        <v>0.37166666666666665</v>
      </c>
      <c r="C145" s="20">
        <f t="shared" si="0"/>
        <v>0.43999999999999995</v>
      </c>
      <c r="D145" s="21">
        <f t="shared" si="1"/>
        <v>0.40295687885010262</v>
      </c>
      <c r="E145" s="19">
        <f t="shared" si="2"/>
        <v>0.47833333333333333</v>
      </c>
      <c r="F145" s="20">
        <f t="shared" si="2"/>
        <v>0.58166666666666667</v>
      </c>
      <c r="G145" s="49">
        <f t="shared" si="7"/>
        <v>0.52496331236897276</v>
      </c>
      <c r="H145" s="22">
        <f t="shared" si="3"/>
        <v>0.63500000000000001</v>
      </c>
      <c r="I145" s="20">
        <f t="shared" si="3"/>
        <v>0.6166666666666667</v>
      </c>
      <c r="J145" s="21">
        <f t="shared" si="4"/>
        <v>0.62569906790945407</v>
      </c>
      <c r="K145" s="19">
        <f t="shared" si="5"/>
        <v>0.33</v>
      </c>
      <c r="L145" s="20">
        <f t="shared" si="5"/>
        <v>0.55333333333333334</v>
      </c>
      <c r="M145" s="21">
        <f t="shared" si="6"/>
        <v>0.41343396226415091</v>
      </c>
    </row>
    <row r="146" spans="1:13" x14ac:dyDescent="0.25">
      <c r="A146" s="57" t="s">
        <v>13</v>
      </c>
      <c r="B146" s="22">
        <f t="shared" si="0"/>
        <v>0.39999999999999997</v>
      </c>
      <c r="C146" s="20">
        <f t="shared" si="0"/>
        <v>0.59333333333333338</v>
      </c>
      <c r="D146" s="21">
        <f t="shared" si="1"/>
        <v>0.4778523489932886</v>
      </c>
      <c r="E146" s="19">
        <f t="shared" si="2"/>
        <v>0.53666666666666674</v>
      </c>
      <c r="F146" s="20">
        <f t="shared" si="2"/>
        <v>0.6366666666666666</v>
      </c>
      <c r="G146" s="49">
        <f t="shared" si="7"/>
        <v>0.58240530303030313</v>
      </c>
      <c r="H146" s="22">
        <f t="shared" si="3"/>
        <v>0.745</v>
      </c>
      <c r="I146" s="20">
        <f t="shared" si="3"/>
        <v>0.61833333333333329</v>
      </c>
      <c r="J146" s="21">
        <f t="shared" si="4"/>
        <v>0.67578239608801949</v>
      </c>
      <c r="K146" s="19">
        <f t="shared" si="5"/>
        <v>0.40333333333333332</v>
      </c>
      <c r="L146" s="20">
        <f t="shared" si="5"/>
        <v>0.71333333333333326</v>
      </c>
      <c r="M146" s="21">
        <f t="shared" si="6"/>
        <v>0.5153034825870646</v>
      </c>
    </row>
    <row r="147" spans="1:13" x14ac:dyDescent="0.25">
      <c r="A147" s="57" t="s">
        <v>14</v>
      </c>
      <c r="B147" s="22">
        <f t="shared" si="0"/>
        <v>0.37000000000000005</v>
      </c>
      <c r="C147" s="20">
        <f t="shared" si="0"/>
        <v>0.46666666666666662</v>
      </c>
      <c r="D147" s="21">
        <f t="shared" si="1"/>
        <v>0.41274900398406372</v>
      </c>
      <c r="E147" s="19">
        <f t="shared" si="2"/>
        <v>0.48500000000000004</v>
      </c>
      <c r="F147" s="20">
        <f t="shared" si="2"/>
        <v>0.57500000000000007</v>
      </c>
      <c r="G147" s="49">
        <f t="shared" si="7"/>
        <v>0.52617924528301896</v>
      </c>
      <c r="H147" s="22">
        <f t="shared" si="3"/>
        <v>0.58166666666666667</v>
      </c>
      <c r="I147" s="20">
        <f t="shared" si="3"/>
        <v>0.6</v>
      </c>
      <c r="J147" s="21">
        <f t="shared" si="4"/>
        <v>0.59069111424541609</v>
      </c>
      <c r="K147" s="19">
        <f t="shared" si="5"/>
        <v>0.28999999999999998</v>
      </c>
      <c r="L147" s="20">
        <f t="shared" si="5"/>
        <v>0.47833333333333333</v>
      </c>
      <c r="M147" s="21">
        <f t="shared" si="6"/>
        <v>0.36108459869848153</v>
      </c>
    </row>
    <row r="148" spans="1:13" x14ac:dyDescent="0.25">
      <c r="A148" s="57" t="s">
        <v>15</v>
      </c>
      <c r="B148" s="22">
        <f t="shared" si="0"/>
        <v>0.38999999999999996</v>
      </c>
      <c r="C148" s="20">
        <f t="shared" si="0"/>
        <v>0.62666666666666659</v>
      </c>
      <c r="D148" s="21">
        <f t="shared" si="1"/>
        <v>0.48078688524590163</v>
      </c>
      <c r="E148" s="19">
        <f t="shared" si="2"/>
        <v>0.55166666666666664</v>
      </c>
      <c r="F148" s="20">
        <f t="shared" si="2"/>
        <v>0.63166666666666671</v>
      </c>
      <c r="G148" s="49">
        <f t="shared" si="7"/>
        <v>0.588962441314554</v>
      </c>
      <c r="H148" s="22">
        <f t="shared" si="3"/>
        <v>0.67833333333333334</v>
      </c>
      <c r="I148" s="20">
        <f t="shared" si="3"/>
        <v>0.60166666666666668</v>
      </c>
      <c r="J148" s="21">
        <f t="shared" si="4"/>
        <v>0.63770399305555558</v>
      </c>
      <c r="K148" s="19">
        <f t="shared" si="5"/>
        <v>0.35166666666666663</v>
      </c>
      <c r="L148" s="20">
        <f t="shared" si="5"/>
        <v>0.63500000000000001</v>
      </c>
      <c r="M148" s="21">
        <f t="shared" si="6"/>
        <v>0.45265202702702695</v>
      </c>
    </row>
    <row r="149" spans="1:13" x14ac:dyDescent="0.25">
      <c r="A149" s="57" t="s">
        <v>16</v>
      </c>
      <c r="B149" s="22">
        <f t="shared" si="0"/>
        <v>0.66999999999999993</v>
      </c>
      <c r="C149" s="20">
        <f t="shared" si="0"/>
        <v>0.435</v>
      </c>
      <c r="D149" s="21">
        <f t="shared" si="1"/>
        <v>0.52751131221719461</v>
      </c>
      <c r="E149" s="19">
        <f t="shared" si="2"/>
        <v>0.38833333333333336</v>
      </c>
      <c r="F149" s="20">
        <f t="shared" si="2"/>
        <v>0.6216666666666667</v>
      </c>
      <c r="G149" s="49">
        <f t="shared" si="7"/>
        <v>0.47804730473047308</v>
      </c>
      <c r="H149" s="22">
        <f t="shared" si="3"/>
        <v>0.53666666666666663</v>
      </c>
      <c r="I149" s="20">
        <f t="shared" si="3"/>
        <v>0.72166666666666668</v>
      </c>
      <c r="J149" s="21">
        <f t="shared" si="4"/>
        <v>0.61556732891832222</v>
      </c>
      <c r="K149" s="19">
        <f t="shared" si="5"/>
        <v>0.52833333333333332</v>
      </c>
      <c r="L149" s="20">
        <f t="shared" si="5"/>
        <v>0.46</v>
      </c>
      <c r="M149" s="21">
        <f t="shared" si="6"/>
        <v>0.49180438448566616</v>
      </c>
    </row>
    <row r="150" spans="1:13" ht="15.75" thickBot="1" x14ac:dyDescent="0.3">
      <c r="A150" s="33" t="s">
        <v>17</v>
      </c>
      <c r="B150" s="26">
        <f t="shared" si="0"/>
        <v>0.74333333333333329</v>
      </c>
      <c r="C150" s="24">
        <f t="shared" si="0"/>
        <v>0.52166666666666661</v>
      </c>
      <c r="D150" s="25">
        <f t="shared" si="1"/>
        <v>0.61307861220904691</v>
      </c>
      <c r="E150" s="43">
        <f t="shared" si="2"/>
        <v>0.46333333333333332</v>
      </c>
      <c r="F150" s="44">
        <f t="shared" si="2"/>
        <v>0.66333333333333333</v>
      </c>
      <c r="G150" s="58">
        <f t="shared" si="7"/>
        <v>0.54558185404339254</v>
      </c>
      <c r="H150" s="59">
        <f t="shared" si="3"/>
        <v>0.62</v>
      </c>
      <c r="I150" s="44">
        <f t="shared" si="3"/>
        <v>0.73166666666666658</v>
      </c>
      <c r="J150" s="45">
        <f t="shared" si="4"/>
        <v>0.67122071516646109</v>
      </c>
      <c r="K150" s="43">
        <f t="shared" si="5"/>
        <v>0.71</v>
      </c>
      <c r="L150" s="44">
        <f t="shared" si="5"/>
        <v>0.52333333333333332</v>
      </c>
      <c r="M150" s="45">
        <f t="shared" si="6"/>
        <v>0.60254054054054051</v>
      </c>
    </row>
    <row r="151" spans="1:13" ht="16.5" thickBot="1" x14ac:dyDescent="0.3">
      <c r="A151" s="8" t="s">
        <v>18</v>
      </c>
      <c r="B151" s="9">
        <f t="shared" si="0"/>
        <v>0.33666666666666667</v>
      </c>
      <c r="C151" s="10">
        <f t="shared" si="0"/>
        <v>0.75</v>
      </c>
      <c r="D151" s="11">
        <f t="shared" si="1"/>
        <v>0.46472392638036814</v>
      </c>
      <c r="E151" s="12">
        <f t="shared" si="2"/>
        <v>0.4366666666666667</v>
      </c>
      <c r="F151" s="10">
        <f t="shared" si="2"/>
        <v>0.98666666666666669</v>
      </c>
      <c r="G151" s="46">
        <f t="shared" si="7"/>
        <v>0.60540202966432477</v>
      </c>
      <c r="H151" s="9">
        <f t="shared" si="3"/>
        <v>0.39999999999999997</v>
      </c>
      <c r="I151" s="10">
        <f t="shared" si="3"/>
        <v>0.83000000000000007</v>
      </c>
      <c r="J151" s="11">
        <f t="shared" si="4"/>
        <v>0.53983739837398381</v>
      </c>
      <c r="K151" s="12">
        <f t="shared" si="5"/>
        <v>0.22333333333333336</v>
      </c>
      <c r="L151" s="10">
        <f t="shared" si="5"/>
        <v>0.92833333333333323</v>
      </c>
      <c r="M151" s="11">
        <f t="shared" si="6"/>
        <v>0.36004823926676316</v>
      </c>
    </row>
    <row r="152" spans="1:13" ht="15.75" x14ac:dyDescent="0.25">
      <c r="A152" s="31" t="s">
        <v>19</v>
      </c>
      <c r="B152" s="17">
        <f t="shared" si="0"/>
        <v>0.51166666666666671</v>
      </c>
      <c r="C152" s="15">
        <f t="shared" si="0"/>
        <v>0.48333333333333339</v>
      </c>
      <c r="D152" s="16">
        <f t="shared" si="1"/>
        <v>0.49709659408151874</v>
      </c>
      <c r="E152" s="52">
        <f t="shared" si="2"/>
        <v>0.76166666666666671</v>
      </c>
      <c r="F152" s="53">
        <f t="shared" si="2"/>
        <v>0.82499999999999984</v>
      </c>
      <c r="G152" s="54">
        <f t="shared" si="7"/>
        <v>0.79206932773109229</v>
      </c>
      <c r="H152" s="55">
        <f t="shared" si="3"/>
        <v>0.66833333333333333</v>
      </c>
      <c r="I152" s="53">
        <f t="shared" si="3"/>
        <v>0.69</v>
      </c>
      <c r="J152" s="56">
        <f t="shared" si="4"/>
        <v>0.67899386503067483</v>
      </c>
      <c r="K152" s="52">
        <f t="shared" si="5"/>
        <v>0.54833333333333334</v>
      </c>
      <c r="L152" s="53">
        <f t="shared" si="5"/>
        <v>0.73999999999999988</v>
      </c>
      <c r="M152" s="56">
        <f t="shared" si="6"/>
        <v>0.62990944372574387</v>
      </c>
    </row>
    <row r="153" spans="1:13" x14ac:dyDescent="0.25">
      <c r="A153" s="32" t="s">
        <v>20</v>
      </c>
      <c r="B153" s="22">
        <f t="shared" si="0"/>
        <v>0.38166666666666665</v>
      </c>
      <c r="C153" s="20">
        <f t="shared" si="0"/>
        <v>0.32666666666666666</v>
      </c>
      <c r="D153" s="21">
        <f t="shared" si="1"/>
        <v>0.35203137254901962</v>
      </c>
      <c r="E153" s="19">
        <f t="shared" si="2"/>
        <v>0.47000000000000003</v>
      </c>
      <c r="F153" s="20">
        <f t="shared" si="2"/>
        <v>0.61</v>
      </c>
      <c r="G153" s="49">
        <f t="shared" si="7"/>
        <v>0.53092592592592591</v>
      </c>
      <c r="H153" s="22">
        <f t="shared" si="3"/>
        <v>0.45666666666666661</v>
      </c>
      <c r="I153" s="20">
        <f t="shared" si="3"/>
        <v>0.52833333333333332</v>
      </c>
      <c r="J153" s="21">
        <f t="shared" si="4"/>
        <v>0.48989283699943598</v>
      </c>
      <c r="K153" s="19">
        <f t="shared" si="5"/>
        <v>0.39499999999999996</v>
      </c>
      <c r="L153" s="20">
        <f t="shared" si="5"/>
        <v>0.52999999999999992</v>
      </c>
      <c r="M153" s="21">
        <f t="shared" si="6"/>
        <v>0.45264864864864857</v>
      </c>
    </row>
    <row r="154" spans="1:13" x14ac:dyDescent="0.25">
      <c r="A154" s="32" t="s">
        <v>21</v>
      </c>
      <c r="B154" s="22">
        <f t="shared" si="0"/>
        <v>0.68666666666666665</v>
      </c>
      <c r="C154" s="20">
        <f t="shared" si="0"/>
        <v>0.72333333333333327</v>
      </c>
      <c r="D154" s="21">
        <f t="shared" si="1"/>
        <v>0.70452324665090627</v>
      </c>
      <c r="E154" s="19">
        <f t="shared" si="2"/>
        <v>0.59833333333333327</v>
      </c>
      <c r="F154" s="20">
        <f t="shared" si="2"/>
        <v>0.74166666666666659</v>
      </c>
      <c r="G154" s="49">
        <f t="shared" si="7"/>
        <v>0.66233416252072963</v>
      </c>
      <c r="H154" s="22">
        <f t="shared" si="3"/>
        <v>0.70333333333333325</v>
      </c>
      <c r="I154" s="20">
        <f t="shared" si="3"/>
        <v>0.80500000000000005</v>
      </c>
      <c r="J154" s="21">
        <f t="shared" si="4"/>
        <v>0.75074033149171271</v>
      </c>
      <c r="K154" s="19">
        <f t="shared" si="5"/>
        <v>0.66166666666666663</v>
      </c>
      <c r="L154" s="20">
        <f t="shared" si="5"/>
        <v>0.72000000000000008</v>
      </c>
      <c r="M154" s="21">
        <f t="shared" si="6"/>
        <v>0.68960193003618819</v>
      </c>
    </row>
    <row r="155" spans="1:13" x14ac:dyDescent="0.25">
      <c r="A155" s="32" t="s">
        <v>22</v>
      </c>
      <c r="B155" s="22">
        <f t="shared" si="0"/>
        <v>0.38166666666666665</v>
      </c>
      <c r="C155" s="20">
        <f t="shared" si="0"/>
        <v>0.32666666666666666</v>
      </c>
      <c r="D155" s="21">
        <f t="shared" si="1"/>
        <v>0.35203137254901962</v>
      </c>
      <c r="E155" s="19">
        <f t="shared" si="2"/>
        <v>0.54999999999999993</v>
      </c>
      <c r="F155" s="20">
        <f t="shared" si="2"/>
        <v>0.65166666666666673</v>
      </c>
      <c r="G155" s="49">
        <f t="shared" si="7"/>
        <v>0.59653259361997224</v>
      </c>
      <c r="H155" s="22">
        <f t="shared" si="3"/>
        <v>0.48500000000000004</v>
      </c>
      <c r="I155" s="20">
        <f t="shared" si="3"/>
        <v>0.53999999999999992</v>
      </c>
      <c r="J155" s="21">
        <f t="shared" si="4"/>
        <v>0.51102439024390245</v>
      </c>
      <c r="K155" s="19">
        <f t="shared" si="5"/>
        <v>0.43333333333333329</v>
      </c>
      <c r="L155" s="20">
        <f t="shared" si="5"/>
        <v>0.55833333333333324</v>
      </c>
      <c r="M155" s="21">
        <f t="shared" si="6"/>
        <v>0.48795518207282906</v>
      </c>
    </row>
    <row r="156" spans="1:13" x14ac:dyDescent="0.25">
      <c r="A156" s="32" t="s">
        <v>23</v>
      </c>
      <c r="B156" s="22">
        <f t="shared" si="0"/>
        <v>0.67833333333333323</v>
      </c>
      <c r="C156" s="20">
        <f t="shared" si="0"/>
        <v>0.72333333333333327</v>
      </c>
      <c r="D156" s="21">
        <f t="shared" si="1"/>
        <v>0.70011097899326202</v>
      </c>
      <c r="E156" s="19">
        <f t="shared" si="2"/>
        <v>0.71999999999999986</v>
      </c>
      <c r="F156" s="20">
        <f t="shared" si="2"/>
        <v>0.82</v>
      </c>
      <c r="G156" s="49">
        <f t="shared" si="7"/>
        <v>0.76675324675324674</v>
      </c>
      <c r="H156" s="22">
        <f t="shared" si="3"/>
        <v>0.76166666666666671</v>
      </c>
      <c r="I156" s="20">
        <f t="shared" si="3"/>
        <v>0.84333333333333327</v>
      </c>
      <c r="J156" s="21">
        <f t="shared" si="4"/>
        <v>0.80042229145032884</v>
      </c>
      <c r="K156" s="19">
        <f t="shared" si="5"/>
        <v>0.70833333333333337</v>
      </c>
      <c r="L156" s="20">
        <f t="shared" si="5"/>
        <v>0.75</v>
      </c>
      <c r="M156" s="21">
        <f t="shared" si="6"/>
        <v>0.72857142857142854</v>
      </c>
    </row>
    <row r="157" spans="1:13" x14ac:dyDescent="0.25">
      <c r="A157" s="32" t="s">
        <v>24</v>
      </c>
      <c r="B157" s="22">
        <f t="shared" si="0"/>
        <v>0.48</v>
      </c>
      <c r="C157" s="20">
        <f t="shared" si="0"/>
        <v>0.32833333333333331</v>
      </c>
      <c r="D157" s="21">
        <f t="shared" si="1"/>
        <v>0.38993814432989693</v>
      </c>
      <c r="E157" s="19">
        <f t="shared" si="2"/>
        <v>0.61</v>
      </c>
      <c r="F157" s="20">
        <f t="shared" si="2"/>
        <v>0.67333333333333334</v>
      </c>
      <c r="G157" s="49">
        <f t="shared" si="7"/>
        <v>0.64010389610389606</v>
      </c>
      <c r="H157" s="22">
        <f t="shared" si="3"/>
        <v>0.58666666666666678</v>
      </c>
      <c r="I157" s="20">
        <f t="shared" si="3"/>
        <v>0.62333333333333329</v>
      </c>
      <c r="J157" s="21">
        <f t="shared" si="4"/>
        <v>0.60444444444444445</v>
      </c>
      <c r="K157" s="19">
        <f t="shared" si="5"/>
        <v>0.51333333333333331</v>
      </c>
      <c r="L157" s="20">
        <f t="shared" si="5"/>
        <v>0.4283333333333334</v>
      </c>
      <c r="M157" s="21">
        <f t="shared" si="6"/>
        <v>0.4669970501474926</v>
      </c>
    </row>
    <row r="158" spans="1:13" ht="15.75" thickBot="1" x14ac:dyDescent="0.3">
      <c r="A158" s="33" t="s">
        <v>25</v>
      </c>
      <c r="B158" s="26">
        <f t="shared" si="0"/>
        <v>0.91000000000000014</v>
      </c>
      <c r="C158" s="24">
        <f t="shared" si="0"/>
        <v>0.65</v>
      </c>
      <c r="D158" s="25">
        <f t="shared" si="1"/>
        <v>0.75833333333333353</v>
      </c>
      <c r="E158" s="43">
        <f t="shared" si="2"/>
        <v>0.81666666666666676</v>
      </c>
      <c r="F158" s="44">
        <f t="shared" si="2"/>
        <v>0.83166666666666655</v>
      </c>
      <c r="G158" s="58">
        <f t="shared" si="7"/>
        <v>0.82409841590832489</v>
      </c>
      <c r="H158" s="59">
        <f t="shared" si="3"/>
        <v>0.8849999999999999</v>
      </c>
      <c r="I158" s="44">
        <f t="shared" si="3"/>
        <v>0.88166666666666671</v>
      </c>
      <c r="J158" s="45">
        <f t="shared" si="4"/>
        <v>0.88333018867924529</v>
      </c>
      <c r="K158" s="43">
        <f t="shared" si="5"/>
        <v>0.92166666666666652</v>
      </c>
      <c r="L158" s="44">
        <f t="shared" si="5"/>
        <v>0.60499999999999998</v>
      </c>
      <c r="M158" s="45">
        <f t="shared" si="6"/>
        <v>0.73049126637554584</v>
      </c>
    </row>
    <row r="159" spans="1:13" ht="15.75" thickBot="1" x14ac:dyDescent="0.3">
      <c r="A159" s="34" t="s">
        <v>26</v>
      </c>
      <c r="B159" s="38">
        <f t="shared" si="0"/>
        <v>0.53666666666666674</v>
      </c>
      <c r="C159" s="39">
        <f t="shared" si="0"/>
        <v>0.54833333333333334</v>
      </c>
      <c r="D159" s="37">
        <f>HARMEAN(B159,C159)</f>
        <v>0.54243727598566305</v>
      </c>
      <c r="E159" s="41">
        <f t="shared" si="2"/>
        <v>0.59500000000000008</v>
      </c>
      <c r="F159" s="39">
        <f t="shared" si="2"/>
        <v>0.76333333333333331</v>
      </c>
      <c r="G159" s="40">
        <f>HARMEAN(E159,F159)</f>
        <v>0.66873619631901848</v>
      </c>
      <c r="H159" s="38">
        <f t="shared" si="3"/>
        <v>0.60666666666666669</v>
      </c>
      <c r="I159" s="39">
        <f t="shared" si="3"/>
        <v>0.7316666666666668</v>
      </c>
      <c r="J159" s="40">
        <f>HARMEAN(H159,I159)</f>
        <v>0.66332918223329185</v>
      </c>
      <c r="K159" s="41">
        <f t="shared" si="5"/>
        <v>0.44333333333333336</v>
      </c>
      <c r="L159" s="39">
        <f t="shared" si="5"/>
        <v>0.64500000000000002</v>
      </c>
      <c r="M159" s="40">
        <f>HARMEAN(K159,L159)</f>
        <v>0.52548238897396637</v>
      </c>
    </row>
    <row r="160" spans="1:13" x14ac:dyDescent="0.25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1:13" x14ac:dyDescent="0.25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</sheetData>
  <mergeCells count="28">
    <mergeCell ref="B1:D1"/>
    <mergeCell ref="E1:G1"/>
    <mergeCell ref="H1:J1"/>
    <mergeCell ref="K1:M1"/>
    <mergeCell ref="B24:D24"/>
    <mergeCell ref="E24:G24"/>
    <mergeCell ref="H24:J24"/>
    <mergeCell ref="K24:M24"/>
    <mergeCell ref="B47:D47"/>
    <mergeCell ref="E47:G47"/>
    <mergeCell ref="H47:J47"/>
    <mergeCell ref="K47:M47"/>
    <mergeCell ref="B70:D70"/>
    <mergeCell ref="E70:G70"/>
    <mergeCell ref="H70:J70"/>
    <mergeCell ref="K70:M70"/>
    <mergeCell ref="B139:D139"/>
    <mergeCell ref="E139:G139"/>
    <mergeCell ref="H139:J139"/>
    <mergeCell ref="K139:M139"/>
    <mergeCell ref="B93:D93"/>
    <mergeCell ref="E93:G93"/>
    <mergeCell ref="H93:J93"/>
    <mergeCell ref="K93:M93"/>
    <mergeCell ref="B116:D116"/>
    <mergeCell ref="E116:G116"/>
    <mergeCell ref="H116:J116"/>
    <mergeCell ref="K116:M116"/>
  </mergeCells>
  <pageMargins left="0.7" right="0.7" top="0.78740157499999996" bottom="0.78740157499999996" header="0.3" footer="0.3"/>
  <pageSetup paperSize="9" orientation="portrait" r:id="rId1"/>
  <ignoredErrors>
    <ignoredError sqref="G141:G159 J141:J15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Kecht, Christoph</dc:creator>
  <cp:lastModifiedBy>Kecht, Christoph</cp:lastModifiedBy>
  <dcterms:created xsi:type="dcterms:W3CDTF">2025-09-08T14:32:11Z</dcterms:created>
  <dcterms:modified xsi:type="dcterms:W3CDTF">2025-10-09T13:18:41Z</dcterms:modified>
</cp:coreProperties>
</file>